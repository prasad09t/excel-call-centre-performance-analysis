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devip\OneDrive\Desktop\excel\"/>
    </mc:Choice>
  </mc:AlternateContent>
  <xr:revisionPtr revIDLastSave="0" documentId="13_ncr:1_{77C39B7F-1908-4EFA-96B0-C1C3C52FF58E}" xr6:coauthVersionLast="47" xr6:coauthVersionMax="47" xr10:uidLastSave="{00000000-0000-0000-0000-000000000000}"/>
  <bookViews>
    <workbookView xWindow="-108" yWindow="-108" windowWidth="23256" windowHeight="12456" tabRatio="694" activeTab="2" xr2:uid="{26D4546B-D2A1-4444-8EAF-A6228F96F0C1}"/>
  </bookViews>
  <sheets>
    <sheet name="Data" sheetId="2" r:id="rId1"/>
    <sheet name="Assets" sheetId="4" r:id="rId2"/>
    <sheet name="pivots" sheetId="6" r:id="rId3"/>
    <sheet name="Customer center report" sheetId="5" r:id="rId4"/>
    <sheet name="Sheet1" sheetId="7" r:id="rId5"/>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7" l="1"/>
  <c r="B6" i="7" s="1"/>
  <c r="B7" i="7" s="1"/>
  <c r="B8" i="7" s="1"/>
  <c r="B9" i="7" s="1"/>
  <c r="B10" i="7" s="1"/>
  <c r="B4" i="7"/>
  <c r="G63" i="6"/>
  <c r="M31" i="5" s="1"/>
  <c r="G53" i="6"/>
  <c r="G56" i="6" s="1"/>
  <c r="G61" i="6" s="1"/>
  <c r="M38" i="5" s="1"/>
  <c r="G52" i="6"/>
  <c r="G55" i="6" s="1"/>
  <c r="G60" i="6" s="1"/>
  <c r="M37" i="5" s="1"/>
  <c r="G51" i="6"/>
  <c r="G59" i="6" s="1"/>
  <c r="M36" i="5" s="1"/>
  <c r="Q20" i="5" a="1"/>
  <c r="Q20" i="5" s="1"/>
  <c r="P21" i="5" a="1"/>
  <c r="P21" i="5" s="1"/>
  <c r="I39" i="6"/>
  <c r="I43" i="6" s="1"/>
  <c r="E42" i="6" a="1"/>
  <c r="E4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2" i="6" l="1"/>
  <c r="H46" i="6"/>
  <c r="H45" i="6"/>
  <c r="H44" i="6"/>
  <c r="H43" i="6"/>
  <c r="I42" i="6"/>
  <c r="I46" i="6"/>
  <c r="I45" i="6"/>
  <c r="I4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C02311-C9BC-44D6-81CF-D8BDF05523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A627648-3357-4D40-A78C-97440B151512}"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D985F274-5B30-4CBE-96FC-AAB8555693D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<sst xmlns="http://schemas.openxmlformats.org/spreadsheetml/2006/main" count="3192" uniqueCount="1106">
  <si>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</si>
  <si>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</si>
  <si>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</si>
  <si>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</si>
  <si>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</si>
  <si>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</si>
  <si>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</si>
  <si>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</si>
  <si>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</si>
  <si>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</si>
  <si>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</si>
  <si>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</si>
  <si>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</si>
  <si>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</si>
  <si>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</si>
  <si>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</si>
  <si>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</si>
  <si>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</si>
  <si>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</si>
  <si>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</si>
  <si>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</si>
  <si>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</si>
  <si>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</si>
  <si>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</si>
  <si>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</si>
  <si>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</si>
  <si>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</si>
  <si>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</si>
  <si>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</si>
  <si>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</si>
  <si>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</si>
  <si>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</si>
  <si>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</si>
  <si>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</si>
  <si>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</si>
  <si>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</si>
  <si>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</si>
  <si>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</si>
  <si>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</si>
  <si>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</si>
  <si>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</si>
  <si>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</si>
  <si>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</si>
  <si>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</si>
  <si>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</si>
  <si>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</si>
  <si>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</si>
  <si>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</si>
  <si>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</si>
  <si>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</si>
  <si>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</si>
  <si>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</si>
  <si>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</si>
  <si>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</si>
  <si>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</si>
  <si>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</si>
  <si>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</si>
  <si>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</si>
  <si>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</si>
  <si>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</si>
  <si>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</si>
  <si>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</si>
  <si>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</si>
  <si>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</si>
  <si>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</si>
  <si>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</si>
  <si>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</si>
  <si>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</si>
  <si>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</si>
  <si>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</si>
  <si>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</si>
  <si>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</si>
  <si>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</si>
  <si>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</si>
  <si>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</si>
  <si>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</si>
  <si>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</si>
  <si>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</si>
  <si>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</si>
  <si>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</si>
  <si>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</si>
  <si>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</si>
  <si>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</si>
  <si>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</si>
  <si>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</si>
  <si>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</si>
  <si>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</si>
  <si>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</si>
  <si>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</si>
  <si>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</si>
  <si>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</si>
  <si>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</si>
  <si>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</si>
  <si>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</si>
  <si>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</si>
  <si>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</si>
  <si>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</si>
  <si>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</si>
  <si>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</si>
  <si>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</si>
  <si>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</si>
  <si>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</si>
  <si>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</si>
  <si>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</si>
  <si>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</si>
  <si>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</si>
  <si>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</si>
  <si>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</si>
  <si>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</si>
  <si>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</si>
  <si>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</si>
  <si>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</si>
  <si>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</si>
  <si>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</si>
  <si>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</si>
  <si>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</si>
  <si>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</si>
  <si>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</si>
  <si>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</si>
  <si>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</si>
  <si>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</si>
  <si>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</si>
  <si>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</si>
  <si>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</si>
  <si>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</si>
  <si>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</si>
  <si>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</si>
  <si>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</si>
  <si>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</si>
  <si>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</si>
  <si>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</si>
  <si>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</si>
  <si>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</si>
  <si>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</si>
  <si>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</si>
  <si>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</si>
  <si>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</si>
  <si>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</si>
  <si>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</si>
  <si>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</si>
  <si>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</si>
  <si>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</si>
  <si>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</si>
  <si>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</si>
  <si>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</si>
  <si>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</si>
  <si>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</si>
  <si>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</si>
  <si>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</si>
  <si>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</si>
  <si>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</si>
  <si>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</si>
  <si>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</si>
  <si>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</si>
  <si>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</si>
  <si>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</si>
  <si>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</si>
  <si>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</si>
  <si>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</si>
  <si>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</si>
  <si>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</si>
  <si>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</si>
  <si>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</si>
  <si>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</si>
  <si>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</si>
  <si>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</si>
  <si>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</si>
  <si>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</si>
  <si>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</si>
  <si>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</si>
  <si>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</si>
  <si>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</si>
  <si>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</si>
  <si>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</si>
  <si>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</si>
  <si>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</si>
  <si>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</si>
  <si>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</si>
  <si>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</si>
  <si>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</si>
  <si>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</si>
  <si>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</si>
  <si>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</si>
  <si>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</si>
  <si>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</si>
  <si>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</si>
  <si>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</si>
  <si>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</si>
  <si>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</si>
  <si>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</si>
  <si>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</si>
  <si>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</si>
  <si>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</si>
  <si>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</si>
  <si>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</si>
  <si>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</si>
  <si>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</si>
  <si>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</si>
  <si>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</si>
  <si>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</si>
  <si>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</si>
  <si>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</si>
  <si>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</si>
  <si>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</si>
  <si>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</si>
  <si>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</si>
  <si>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</si>
  <si>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</si>
  <si>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</si>
  <si>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</si>
  <si>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</si>
  <si>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</si>
  <si>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</si>
  <si>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</si>
  <si>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</si>
  <si>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</si>
  <si>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</si>
  <si>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</si>
  <si>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</si>
  <si>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</si>
  <si>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</si>
  <si>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</si>
  <si>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</si>
  <si>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</si>
  <si>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</si>
  <si>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</si>
  <si>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</si>
  <si>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</si>
  <si>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</si>
  <si>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</si>
  <si>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</si>
  <si>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</si>
  <si>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</si>
  <si>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</si>
  <si>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</si>
  <si>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</si>
  <si>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</si>
  <si>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</si>
  <si>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</si>
  <si>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</si>
  <si>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</si>
  <si>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</si>
  <si>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</si>
  <si>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</si>
  <si>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</si>
  <si>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</si>
  <si>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</si>
  <si>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</si>
  <si>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</si>
  <si>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</si>
  <si>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</si>
  <si>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</si>
  <si>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</si>
  <si>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</si>
  <si>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</si>
  <si>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</si>
  <si>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</si>
  <si>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</si>
  <si>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</si>
  <si>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</si>
  <si>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</si>
  <si>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</si>
  <si>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</si>
  <si>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</si>
  <si>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</si>
  <si>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</si>
  <si>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</si>
  <si>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</si>
  <si>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</si>
  <si>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</si>
  <si>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</si>
  <si>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</si>
  <si>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</si>
  <si>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</si>
  <si>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</si>
  <si>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</si>
  <si>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</si>
  <si>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</si>
  <si>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</si>
  <si>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</si>
  <si>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</si>
  <si>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</si>
  <si>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</si>
  <si>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</si>
  <si>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</si>
  <si>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</si>
  <si>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</si>
  <si>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</si>
  <si>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</si>
  <si>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</si>
  <si>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</si>
  <si>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</si>
  <si>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</si>
  <si>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</si>
  <si>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</si>
  <si>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</si>
  <si>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</si>
  <si>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</si>
  <si>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</si>
  <si>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</si>
  <si>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</si>
  <si>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</si>
  <si>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</si>
  <si>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</si>
  <si>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</si>
  <si>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</si>
  <si>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</si>
  <si>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</si>
  <si>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</si>
  <si>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</si>
  <si>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</si>
  <si>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</si>
  <si>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</si>
  <si>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</si>
  <si>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</si>
  <si>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</si>
  <si>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</si>
  <si>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</si>
  <si>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</si>
  <si>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</si>
  <si>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</si>
  <si>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</si>
  <si>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</si>
  <si>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</si>
  <si>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</si>
  <si>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</si>
  <si>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</si>
  <si>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</si>
  <si>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</si>
  <si>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</si>
  <si>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</si>
  <si>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</si>
  <si>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</si>
  <si>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</si>
  <si>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</si>
  <si>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</si>
  <si>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</si>
  <si>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</si>
  <si>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</si>
  <si>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</si>
  <si>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</si>
  <si>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</si>
  <si>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</si>
  <si>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</si>
  <si>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</si>
  <si>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</si>
  <si>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</si>
  <si>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</si>
  <si>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</si>
  <si>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</si>
  <si>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</si>
  <si>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</si>
  <si>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</si>
  <si>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</si>
  <si>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</si>
  <si>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</si>
  <si>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</si>
  <si>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</si>
  <si>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</si>
  <si>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</si>
  <si>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</si>
  <si>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</si>
  <si>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</si>
  <si>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</si>
  <si>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</si>
  <si>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</si>
  <si>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</si>
  <si>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</si>
  <si>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</si>
  <si>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</si>
  <si>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</si>
  <si>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</si>
  <si>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</si>
  <si>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</si>
  <si>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</si>
  <si>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</si>
  <si>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</si>
  <si>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</si>
  <si>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</si>
  <si>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</si>
  <si>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</si>
  <si>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</si>
  <si>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</si>
  <si>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</si>
  <si>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</si>
  <si>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</si>
  <si>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</si>
  <si>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</si>
  <si>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</si>
  <si>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</si>
  <si>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</si>
  <si>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</si>
  <si>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</si>
  <si>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</si>
  <si>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</si>
  <si>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</si>
  <si>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</si>
  <si>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</si>
  <si>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</si>
  <si>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</si>
  <si>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</si>
  <si>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</si>
  <si>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</si>
  <si>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</si>
  <si>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</si>
  <si>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</si>
  <si>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</si>
  <si>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</si>
  <si>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</si>
  <si>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</si>
  <si>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</si>
  <si>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</si>
  <si>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</si>
  <si>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</si>
  <si>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</si>
  <si>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</si>
  <si>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</si>
  <si>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</si>
  <si>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</si>
  <si>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</si>
  <si>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</si>
  <si>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</si>
  <si>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</si>
  <si>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</si>
  <si>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</si>
  <si>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</si>
  <si>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</si>
  <si>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</si>
  <si>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</si>
  <si>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</si>
  <si>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</si>
  <si>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</si>
  <si>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</si>
  <si>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</si>
  <si>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</si>
  <si>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</si>
  <si>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</si>
  <si>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</si>
  <si>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</si>
  <si>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</si>
  <si>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</si>
  <si>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</si>
  <si>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</si>
  <si>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</si>
  <si>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</si>
  <si>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</si>
  <si>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</si>
  <si>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</si>
  <si>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</si>
  <si>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</si>
  <si>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</si>
  <si>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</si>
  <si>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</si>
  <si>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</si>
  <si>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</si>
  <si>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</si>
  <si>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</si>
  <si>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</si>
  <si>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</si>
  <si>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</si>
  <si>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</si>
  <si>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</si>
  <si>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</si>
  <si>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</si>
  <si>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</si>
  <si>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</si>
  <si>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</si>
  <si>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</si>
  <si>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</si>
  <si>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</si>
  <si>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</si>
  <si>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</si>
  <si>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</si>
  <si>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</si>
  <si>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</si>
  <si>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</si>
  <si>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</si>
  <si>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</si>
  <si>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</si>
  <si>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</si>
  <si>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</si>
  <si>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</si>
  <si>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</si>
  <si>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</si>
  <si>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</si>
  <si>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</si>
  <si>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</si>
  <si>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</si>
  <si>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</si>
  <si>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</si>
  <si>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</si>
  <si>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</si>
  <si>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</si>
  <si>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</si>
  <si>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</si>
  <si>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</si>
  <si>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</si>
  <si>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</si>
  <si>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</si>
  <si>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</si>
  <si>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</si>
  <si>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</si>
  <si>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</si>
  <si>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</si>
  <si>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</si>
  <si>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</si>
  <si>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</si>
  <si>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</si>
  <si>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</si>
  <si>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</si>
  <si>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</si>
  <si>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</si>
  <si>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</si>
  <si>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</si>
  <si>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</si>
  <si>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</si>
  <si>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</si>
  <si>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</si>
  <si>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</si>
  <si>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</si>
  <si>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</si>
  <si>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</si>
  <si>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</si>
  <si>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</si>
  <si>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</si>
  <si>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</si>
  <si>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</si>
  <si>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</si>
  <si>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</si>
  <si>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</si>
  <si>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</si>
  <si>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</si>
  <si>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</si>
  <si>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</si>
  <si>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</si>
  <si>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</si>
  <si>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</si>
  <si>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</si>
  <si>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</si>
  <si>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</si>
  <si>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</si>
  <si>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</si>
  <si>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</si>
  <si>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</si>
  <si>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</si>
  <si>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</si>
  <si>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</si>
  <si>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</si>
  <si>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</si>
  <si>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</si>
  <si>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</si>
  <si>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</si>
  <si>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</si>
  <si>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</si>
  <si>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</si>
  <si>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</si>
  <si>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</si>
  <si>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</si>
  <si>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</si>
  <si>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</si>
  <si>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</si>
  <si>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</si>
  <si>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</si>
  <si>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</si>
  <si>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</si>
  <si>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</si>
  <si>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</si>
  <si>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</si>
  <si>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</si>
  <si>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</si>
  <si>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</si>
  <si>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</si>
  <si>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</si>
  <si>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</si>
  <si>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</si>
  <si>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</si>
  <si>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</si>
  <si>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</si>
  <si>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</si>
  <si>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</si>
  <si>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</si>
  <si>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</si>
  <si>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</si>
  <si>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</si>
  <si>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</si>
  <si>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</si>
  <si>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</si>
  <si>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</si>
  <si>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</si>
  <si>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</si>
  <si>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</si>
  <si>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</si>
  <si>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</si>
  <si>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</si>
  <si>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</si>
  <si>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</si>
  <si>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</si>
  <si>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</si>
  <si>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</si>
  <si>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</si>
  <si>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</si>
  <si>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</si>
  <si>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</si>
  <si>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</si>
  <si>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</si>
  <si>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</si>
  <si>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</si>
  <si>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</si>
  <si>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</si>
  <si>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</si>
  <si>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</si>
  <si>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</si>
  <si>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</si>
  <si>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</si>
  <si>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</si>
  <si>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</si>
  <si>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</si>
  <si>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</si>
  <si>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</si>
  <si>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</si>
  <si>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</si>
  <si>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</si>
  <si>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</si>
  <si>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</si>
  <si>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</si>
  <si>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</si>
  <si>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</si>
  <si>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</si>
  <si>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</si>
  <si>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</si>
  <si>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</si>
  <si>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</si>
  <si>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</si>
  <si>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</si>
  <si>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</si>
  <si>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</si>
  <si>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</si>
  <si>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</si>
  <si>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</si>
  <si>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</si>
  <si>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</si>
  <si>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</si>
  <si>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</si>
  <si>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</si>
  <si>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</si>
  <si>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</si>
  <si>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</si>
  <si>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</si>
  <si>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</si>
  <si>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</si>
  <si>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</si>
  <si>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</si>
  <si>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</si>
  <si>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</si>
  <si>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</si>
  <si>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</si>
  <si>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</si>
  <si>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</si>
  <si>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</si>
  <si>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</si>
  <si>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</si>
  <si>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</si>
  <si>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</si>
  <si>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</si>
  <si>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</si>
  <si>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</si>
  <si>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</si>
  <si>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</si>
  <si>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</si>
  <si>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</si>
  <si>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</si>
  <si>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</si>
  <si>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</si>
  <si>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</si>
  <si>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</si>
  <si>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</si>
  <si>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</si>
  <si>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</si>
  <si>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</si>
  <si>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</si>
  <si>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</si>
  <si>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</si>
  <si>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</si>
  <si>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</si>
  <si>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</si>
  <si>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</si>
  <si>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</si>
  <si>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</si>
  <si>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</si>
  <si>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</si>
  <si>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</si>
  <si>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</si>
  <si>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</si>
  <si>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</si>
  <si>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</si>
  <si>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</si>
  <si>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</si>
  <si>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</si>
  <si>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</si>
  <si>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</si>
  <si>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</si>
  <si>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</si>
  <si>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</si>
  <si>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</si>
  <si>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</si>
  <si>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</si>
  <si>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</si>
  <si>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</si>
  <si>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</si>
  <si>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</si>
  <si>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</si>
  <si>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</si>
  <si>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</si>
  <si>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</si>
  <si>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</si>
  <si>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</si>
  <si>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</si>
  <si>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</si>
  <si>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</si>
  <si>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</si>
  <si>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</si>
  <si>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</si>
  <si>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</si>
  <si>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</si>
  <si>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</si>
  <si>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</si>
  <si>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</si>
  <si>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</si>
  <si>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</si>
  <si>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</si>
  <si>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</si>
  <si>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</si>
  <si>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</si>
  <si>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</si>
  <si>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</si>
  <si>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</si>
  <si>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</si>
  <si>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</si>
  <si>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</si>
  <si>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</si>
  <si>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</si>
  <si>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</si>
  <si>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</si>
  <si>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</si>
  <si>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</si>
  <si>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</si>
  <si>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</si>
  <si>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</si>
  <si>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</si>
  <si>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</si>
  <si>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</si>
  <si>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</si>
  <si>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</si>
  <si>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</si>
  <si>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</si>
  <si>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</si>
  <si>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</si>
  <si>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</si>
  <si>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</si>
  <si>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</si>
  <si>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</si>
  <si>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</si>
  <si>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</si>
  <si>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</si>
  <si>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</si>
  <si>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</si>
  <si>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</si>
  <si>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</si>
  <si>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</si>
  <si>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</si>
  <si>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</si>
  <si>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</si>
  <si>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</si>
  <si>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</si>
  <si>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</si>
  <si>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</si>
  <si>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</si>
  <si>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</si>
  <si>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</si>
  <si>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</si>
  <si>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</si>
  <si>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</si>
  <si>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</si>
  <si>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</si>
  <si>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</si>
  <si>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</si>
  <si>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</si>
  <si>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</si>
  <si>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</si>
  <si>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</si>
  <si>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</si>
  <si>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</si>
  <si>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</si>
  <si>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</si>
  <si>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</si>
  <si>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</si>
  <si>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</si>
  <si>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</si>
  <si>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</si>
  <si>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</si>
  <si>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</si>
  <si>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</si>
  <si>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</si>
  <si>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</si>
  <si>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</si>
  <si>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</si>
  <si>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</si>
  <si>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</si>
  <si>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</si>
  <si>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</si>
  <si>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</si>
  <si>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</si>
  <si>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</si>
  <si>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</si>
  <si>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</si>
  <si>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</si>
  <si>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</si>
  <si>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</si>
  <si>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</si>
  <si>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</si>
  <si>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</si>
  <si>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</si>
  <si>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</si>
  <si>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</si>
  <si>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</si>
  <si>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</si>
  <si>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</si>
  <si>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</si>
  <si>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</si>
  <si>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</si>
  <si>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</si>
  <si>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</si>
  <si>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</si>
  <si>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</si>
  <si>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</si>
  <si>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</si>
  <si>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</si>
  <si>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</si>
  <si>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</si>
  <si>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</si>
  <si>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</si>
  <si>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</si>
  <si>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</si>
  <si>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</si>
  <si>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</si>
  <si>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</si>
  <si>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</si>
  <si>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</si>
  <si>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</si>
  <si>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</si>
  <si>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</si>
  <si>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</si>
  <si>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</si>
  <si>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</si>
  <si>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</si>
  <si>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</si>
  <si>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</si>
  <si>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</si>
  <si>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</si>
  <si>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</si>
  <si>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</si>
  <si>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</si>
  <si>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</si>
  <si>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</si>
  <si>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</si>
  <si>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</si>
  <si>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</si>
  <si>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</si>
  <si>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</si>
  <si>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</si>
  <si>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</si>
  <si>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</si>
  <si>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</si>
  <si>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</si>
  <si>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</si>
  <si>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</si>
  <si>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</si>
  <si>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</si>
  <si>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</si>
  <si>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</si>
  <si>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</si>
  <si>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</si>
  <si>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</si>
  <si>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</si>
  <si>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</si>
  <si>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</si>
  <si>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</si>
  <si>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</si>
  <si>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</si>
  <si>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</si>
  <si>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</si>
  <si>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</si>
  <si>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</si>
  <si>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</si>
  <si>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</si>
  <si>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</si>
  <si>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</si>
  <si>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</si>
  <si>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</si>
  <si>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</si>
  <si>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</si>
  <si>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</si>
  <si>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</si>
  <si>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</si>
  <si>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</si>
  <si>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</si>
  <si>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</si>
  <si>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</si>
  <si>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</si>
  <si>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</si>
  <si>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</si>
  <si>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</si>
  <si>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</si>
  <si>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</si>
  <si>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</si>
  <si>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</si>
  <si>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</si>
  <si>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</si>
  <si>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</si>
  <si>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</si>
  <si>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</si>
  <si>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</si>
  <si>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</si>
  <si>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</si>
  <si>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</si>
  <si>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</si>
  <si>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</si>
  <si>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</si>
  <si>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</si>
  <si>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</si>
  <si>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</si>
  <si>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</si>
  <si>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</si>
  <si>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</si>
  <si>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</si>
  <si>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</si>
  <si>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</si>
  <si>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</si>
  <si>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</si>
  <si>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</si>
  <si>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</si>
  <si>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</si>
  <si>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</si>
  <si>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</si>
  <si>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</si>
  <si>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</si>
  <si>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</si>
  <si>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</si>
  <si>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</si>
  <si>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</si>
  <si>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</si>
  <si>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</si>
  <si>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</si>
  <si>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</si>
  <si>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</si>
  <si>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</si>
  <si>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</si>
  <si>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</si>
  <si>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</si>
  <si>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</si>
  <si>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</si>
  <si>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</si>
  <si>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</si>
  <si>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</si>
  <si>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</si>
  <si>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</si>
  <si>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</si>
  <si>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</si>
  <si>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</si>
  <si>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</si>
  <si>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</si>
  <si>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</si>
  <si>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</si>
  <si>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</si>
  <si>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</si>
  <si>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</si>
  <si>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</si>
  <si>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</si>
  <si>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</si>
  <si>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</si>
  <si>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</si>
  <si>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</si>
  <si>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</si>
  <si>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</si>
  <si>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</si>
  <si>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</si>
  <si>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</si>
  <si>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</si>
  <si>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</si>
  <si>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</si>
  <si>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</si>
  <si>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</si>
  <si>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</si>
  <si>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</si>
  <si>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</si>
  <si>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</si>
  <si>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</si>
  <si>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</si>
  <si>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</si>
  <si>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</si>
  <si>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</si>
  <si>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</si>
  <si>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</si>
  <si>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</si>
  <si>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</si>
  <si>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</si>
  <si>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</si>
  <si>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</si>
  <si>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</si>
  <si>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</si>
  <si>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</si>
  <si>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</si>
  <si>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</si>
  <si>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</si>
  <si>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</si>
  <si>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</si>
  <si>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</si>
  <si>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</si>
  <si>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</si>
  <si>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</si>
  <si>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</si>
  <si>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</si>
  <si>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</si>
  <si>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</si>
  <si>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</si>
  <si>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</si>
  <si>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</si>
  <si>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</si>
  <si>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</si>
  <si>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</si>
  <si>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</si>
  <si>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</si>
  <si>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</si>
  <si>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</si>
  <si>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</si>
  <si>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</si>
  <si>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</si>
  <si>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</si>
  <si>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</si>
  <si>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</si>
  <si>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</si>
  <si>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</si>
  <si>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IF(MONTH([@[Date of Call]])&lt;=6, YEAR([@[Date of Call]]),YEAR([@[Date of Call]])+1)</t>
  </si>
  <si>
    <t>TEXT([@[Date of Call]],"DDDD")</t>
  </si>
  <si>
    <t>IFS([@Duration]&lt;=10,"Under 10 mins",[@Duration]&lt;=30,"10 to 30 mins",[@Duration]&lt;=60,"30 to 60 mins",[@Duration]&lt;=120,"1 to 2 hours",TRUE,"More than 2 hours")</t>
  </si>
  <si>
    <t>ROUND([@[Satisfaction Rating]],0)</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</si>
  <si>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</si>
  <si>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</si>
  <si>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</si>
  <si>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</si>
  <si>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</si>
  <si>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</si>
  <si>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</si>
  <si>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</si>
  <si>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</si>
  <si>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</si>
  <si>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</si>
  <si>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</si>
  <si>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</si>
  <si>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</si>
  <si>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</si>
  <si>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</si>
  <si>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</si>
  <si>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</si>
  <si>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</si>
  <si>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</si>
  <si>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</si>
  <si>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</si>
  <si>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</si>
  <si>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</si>
  <si>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</si>
  <si>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</si>
  <si>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</si>
  <si>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</si>
  <si>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</si>
  <si>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Amount</t>
  </si>
  <si>
    <t>Sel.Calls</t>
  </si>
  <si>
    <t>Sel.Amount</t>
  </si>
  <si>
    <t>For Graph</t>
  </si>
  <si>
    <t>Column Labels</t>
  </si>
  <si>
    <t>Count of Call number</t>
  </si>
  <si>
    <t>Total</t>
  </si>
  <si>
    <t>Reps Summary</t>
  </si>
  <si>
    <t>% of calls</t>
  </si>
  <si>
    <t>Call rank</t>
  </si>
  <si>
    <t>Amount rank</t>
  </si>
  <si>
    <t>Lables:</t>
  </si>
  <si>
    <t>Image:</t>
  </si>
  <si>
    <t>CALL CENTER REPORT - 2023</t>
  </si>
  <si>
    <t>Set up the dashboard page &amp; theme</t>
  </si>
  <si>
    <t>Pivots for KPIs</t>
  </si>
  <si>
    <t>Creating the "Data Model"</t>
  </si>
  <si>
    <t>Dashboard Titles</t>
  </si>
  <si>
    <t>Making DAX Measures</t>
  </si>
  <si>
    <t>Trend Graph</t>
  </si>
  <si>
    <t>weekday Trend</t>
  </si>
  <si>
    <t>Call &amp; Amounts by Rep</t>
  </si>
  <si>
    <t>Slicer formating and styles</t>
  </si>
  <si>
    <t>Call by customer Demograpics</t>
  </si>
  <si>
    <t>Rating Distribution Histogram</t>
  </si>
  <si>
    <t>Customer Revenue Analysis(table)</t>
  </si>
  <si>
    <t>Conditinal formating Databars for the table</t>
  </si>
  <si>
    <t>Highlighting the currently selected rep</t>
  </si>
  <si>
    <t>Setting up the dashboard title</t>
  </si>
  <si>
    <t xml:space="preserve"> </t>
  </si>
  <si>
    <t>Selected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</si>
</sst>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409]#,###.0,&quot;k&quot;"/>
    <numFmt numFmtId="168" formatCode="[$$-409]#,##0"/>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sz val="11"/>
      <color theme="0" tint="-0.34998626667073579"/>
      <name val="Aptos"/>
      <family val="2"/>
      <scheme val="minor"/>
    </font>
    <font>
      <sz val="24"/>
      <color theme="1" tint="0.499984740745262"/>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5" fillId="5" borderId="10" xfId="0" applyFont="1" applyFill="1" applyBorder="1"/>
    <xf numFmtId="0" fontId="5" fillId="5" borderId="11" xfId="0" applyFont="1" applyFill="1" applyBorder="1"/>
    <xf numFmtId="0" fontId="5" fillId="5" borderId="12" xfId="0" applyFont="1" applyFill="1" applyBorder="1"/>
    <xf numFmtId="0" fontId="5" fillId="5" borderId="13" xfId="0" applyFont="1" applyFill="1" applyBorder="1"/>
    <xf numFmtId="0" fontId="5" fillId="5" borderId="0" xfId="0" applyFont="1" applyFill="1"/>
    <xf numFmtId="0" fontId="5" fillId="5" borderId="14" xfId="0" applyFont="1" applyFill="1" applyBorder="1"/>
    <xf numFmtId="0" fontId="5" fillId="5" borderId="13" xfId="0" applyFont="1" applyFill="1" applyBorder="1" applyAlignment="1">
      <alignment horizontal="left" indent="1"/>
    </xf>
    <xf numFmtId="168" fontId="5" fillId="5" borderId="0" xfId="0" applyNumberFormat="1" applyFont="1" applyFill="1"/>
    <xf numFmtId="168" fontId="5" fillId="5" borderId="14" xfId="0" applyNumberFormat="1" applyFont="1" applyFill="1" applyBorder="1"/>
    <xf numFmtId="0" fontId="5" fillId="5" borderId="15" xfId="0" applyFont="1" applyFill="1" applyBorder="1" applyAlignment="1">
      <alignment horizontal="left" indent="1"/>
    </xf>
    <xf numFmtId="168" fontId="5" fillId="5" borderId="16" xfId="0" applyNumberFormat="1" applyFont="1" applyFill="1" applyBorder="1"/>
    <xf numFmtId="168" fontId="5" fillId="5" borderId="17" xfId="0" applyNumberFormat="1" applyFont="1" applyFill="1" applyBorder="1"/>
    <xf numFmtId="9" fontId="0" fillId="0" borderId="0" xfId="1" applyFont="1"/>
    <xf numFmtId="0" fontId="7" fillId="3" borderId="0" xfId="0" applyFont="1" applyFill="1" applyAlignment="1">
      <alignment vertical="center"/>
    </xf>
    <xf numFmtId="0" fontId="0" fillId="3" borderId="0" xfId="0" applyFill="1" applyAlignment="1">
      <alignment horizontal="center"/>
    </xf>
    <xf numFmtId="0" fontId="6" fillId="3" borderId="0" xfId="0" applyFont="1" applyFill="1" applyAlignment="1">
      <alignment horizontal="center" vertical="center"/>
    </xf>
  </cellXfs>
  <cellStyles count="2">
    <cellStyle name="Normal" xfId="0" builtinId="0"/>
    <cellStyle name="Percent" xfId="1" builtinId="5"/>
  </cellStyles>
  <dxfs count="19">
    <dxf>
      <fill>
        <patternFill>
          <bgColor theme="8" tint="0.59996337778862885"/>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b/>
        <color theme="1"/>
      </font>
      <border>
        <bottom style="thin">
          <color theme="8"/>
        </bottom>
        <vertical/>
        <horizontal/>
      </border>
    </dxf>
    <dxf>
      <font>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FF7CFF36-C6EC-4EBE-A206-01E12E5E8C35}">
      <tableStyleElement type="wholeTable" dxfId="17"/>
      <tableStyleElement type="headerRow" dxfId="16"/>
    </tableStyle>
  </tableStyles>
  <colors>
    <mruColors>
      <color rgb="FF80808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[04.sample-data-excel-portfolio-project.xlsx]pivots!Weekly Trend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60000"/>
                  <a:lumOff val="40000"/>
                </a:schemeClr>
              </a:gs>
              <a:gs pos="100000">
                <a:schemeClr val="accent5"/>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5">
                  <a:lumMod val="60000"/>
                  <a:lumOff val="40000"/>
                </a:schemeClr>
              </a:gs>
              <a:gs pos="100000">
                <a:schemeClr val="accent5"/>
              </a:gs>
            </a:gsLst>
            <a:lin ang="5400000" scaled="1"/>
          </a:gradFill>
          <a:ln>
            <a:noFill/>
          </a:ln>
          <a:effectLst/>
        </c:spPr>
      </c:pivotFmt>
    </c:pivotFmts>
    <c:plotArea>
      <c:layout/>
      <c:barChart>
        <c:barDir val="bar"/>
        <c:grouping val="clustered"/>
        <c:varyColors val="0"/>
        <c:ser>
          <c:idx val="0"/>
          <c:order val="0"/>
          <c:tx>
            <c:strRef>
              <c:f>pivots!$G$20</c:f>
              <c:strCache>
                <c:ptCount val="1"/>
                <c:pt idx="0">
                  <c:v>Total</c:v>
                </c:pt>
              </c:strCache>
            </c:strRef>
          </c:tx>
          <c:spPr>
            <a:gradFill>
              <a:gsLst>
                <a:gs pos="0">
                  <a:schemeClr val="accent5">
                    <a:lumMod val="60000"/>
                    <a:lumOff val="40000"/>
                  </a:schemeClr>
                </a:gs>
                <a:gs pos="100000">
                  <a:schemeClr val="accent5"/>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pivots!$F$21:$F$28</c:f>
              <c:strCache>
                <c:ptCount val="7"/>
                <c:pt idx="0">
                  <c:v>Sunday</c:v>
                </c:pt>
                <c:pt idx="1">
                  <c:v>Monday</c:v>
                </c:pt>
                <c:pt idx="2">
                  <c:v>Tuesday</c:v>
                </c:pt>
                <c:pt idx="3">
                  <c:v>Wednesday</c:v>
                </c:pt>
                <c:pt idx="4">
                  <c:v>Thursday</c:v>
                </c:pt>
                <c:pt idx="5">
                  <c:v>Friday</c:v>
                </c:pt>
                <c:pt idx="6">
                  <c:v>Saturday</c:v>
                </c:pt>
              </c:strCache>
            </c:strRef>
          </c:cat>
          <c:val>
            <c:numRef>
              <c:f>pivots!$G$21:$G$28</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E791-45E1-A329-2533632ED788}"/>
            </c:ext>
          </c:extLst>
        </c:ser>
        <c:dLbls>
          <c:showLegendKey val="0"/>
          <c:showVal val="0"/>
          <c:showCatName val="0"/>
          <c:showSerName val="0"/>
          <c:showPercent val="0"/>
          <c:showBubbleSize val="0"/>
        </c:dLbls>
        <c:gapWidth val="25"/>
        <c:axId val="1978522847"/>
        <c:axId val="1978537247"/>
      </c:barChart>
      <c:catAx>
        <c:axId val="1978522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537247"/>
        <c:crosses val="autoZero"/>
        <c:auto val="1"/>
        <c:lblAlgn val="ctr"/>
        <c:lblOffset val="100"/>
        <c:noMultiLvlLbl val="0"/>
      </c:catAx>
      <c:valAx>
        <c:axId val="1978537247"/>
        <c:scaling>
          <c:orientation val="minMax"/>
        </c:scaling>
        <c:delete val="1"/>
        <c:axPos val="b"/>
        <c:numFmt formatCode="#,##0" sourceLinked="1"/>
        <c:majorTickMark val="none"/>
        <c:minorTickMark val="none"/>
        <c:tickLblPos val="nextTo"/>
        <c:crossAx val="197852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[04.sample-data-excel-portfolio-project.xlsx]pivots!Monthly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solidFill>
                <a:latin typeface="+mj-lt"/>
              </a:rPr>
              <a:t>Call Trend</a:t>
            </a:r>
          </a:p>
        </c:rich>
      </c:tx>
      <c:layout>
        <c:manualLayout>
          <c:xMode val="edge"/>
          <c:yMode val="edge"/>
          <c:x val="2.102329258470309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40000"/>
                  <a:lumOff val="60000"/>
                  <a:alpha val="50000"/>
                </a:schemeClr>
              </a:gs>
              <a:gs pos="95000">
                <a:schemeClr val="accent5"/>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pivots!$C$20</c:f>
              <c:strCache>
                <c:ptCount val="1"/>
                <c:pt idx="0">
                  <c:v>call count2</c:v>
                </c:pt>
              </c:strCache>
            </c:strRef>
          </c:tx>
          <c:spPr>
            <a:gradFill flip="none" rotWithShape="1">
              <a:gsLst>
                <a:gs pos="0">
                  <a:schemeClr val="accent5">
                    <a:lumMod val="40000"/>
                    <a:lumOff val="60000"/>
                    <a:alpha val="50000"/>
                  </a:schemeClr>
                </a:gs>
                <a:gs pos="95000">
                  <a:schemeClr val="accent5"/>
                </a:gs>
              </a:gsLst>
              <a:lin ang="16200000" scaled="1"/>
              <a:tileRect/>
            </a:gradFill>
            <a:ln>
              <a:noFill/>
            </a:ln>
            <a:effectLst/>
          </c:spP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pivots!$C$21:$C$33</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217B-45DE-B059-B5E9E32537A3}"/>
            </c:ext>
          </c:extLst>
        </c:ser>
        <c:dLbls>
          <c:showLegendKey val="0"/>
          <c:showVal val="0"/>
          <c:showCatName val="0"/>
          <c:showSerName val="0"/>
          <c:showPercent val="0"/>
          <c:showBubbleSize val="0"/>
        </c:dLbls>
        <c:axId val="1384873407"/>
        <c:axId val="1384871007"/>
      </c:areaChart>
      <c:lineChart>
        <c:grouping val="standard"/>
        <c:varyColors val="0"/>
        <c:ser>
          <c:idx val="0"/>
          <c:order val="0"/>
          <c:tx>
            <c:strRef>
              <c:f>pivots!$B$20</c:f>
              <c:strCache>
                <c:ptCount val="1"/>
                <c:pt idx="0">
                  <c:v>call count</c:v>
                </c:pt>
              </c:strCache>
            </c:strRef>
          </c:tx>
          <c:spPr>
            <a:ln w="28575" cap="rnd">
              <a:solidFill>
                <a:schemeClr val="accent6"/>
              </a:solidFill>
              <a:round/>
            </a:ln>
            <a:effectLst/>
          </c:spPr>
          <c:marker>
            <c:symbol val="circle"/>
            <c:size val="5"/>
            <c:spPr>
              <a:solidFill>
                <a:schemeClr val="bg1">
                  <a:lumMod val="95000"/>
                </a:schemeClr>
              </a:solidFill>
              <a:ln w="25400">
                <a:solidFill>
                  <a:schemeClr val="tx1">
                    <a:lumMod val="85000"/>
                    <a:lumOff val="15000"/>
                  </a:schemeClr>
                </a:solidFill>
              </a:ln>
              <a:effectLst/>
            </c:spPr>
          </c:marke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pivots!$B$21:$B$33</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217B-45DE-B059-B5E9E32537A3}"/>
            </c:ext>
          </c:extLst>
        </c:ser>
        <c:dLbls>
          <c:showLegendKey val="0"/>
          <c:showVal val="0"/>
          <c:showCatName val="0"/>
          <c:showSerName val="0"/>
          <c:showPercent val="0"/>
          <c:showBubbleSize val="0"/>
        </c:dLbls>
        <c:marker val="1"/>
        <c:smooth val="0"/>
        <c:axId val="1384873407"/>
        <c:axId val="1384871007"/>
      </c:lineChart>
      <c:catAx>
        <c:axId val="138487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871007"/>
        <c:crosses val="autoZero"/>
        <c:auto val="1"/>
        <c:lblAlgn val="ctr"/>
        <c:lblOffset val="100"/>
        <c:noMultiLvlLbl val="0"/>
      </c:catAx>
      <c:valAx>
        <c:axId val="1384871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8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j-lt"/>
                <a:ea typeface="+mn-ea"/>
                <a:cs typeface="+mn-cs"/>
              </a:defRPr>
            </a:pPr>
            <a:r>
              <a:rPr lang="en-IN">
                <a:solidFill>
                  <a:schemeClr val="accent5"/>
                </a:solidFill>
                <a:latin typeface="+mj-lt"/>
              </a:rPr>
              <a:t>Calls</a:t>
            </a:r>
          </a:p>
        </c:rich>
      </c:tx>
      <c:layout>
        <c:manualLayout>
          <c:xMode val="edge"/>
          <c:yMode val="edge"/>
          <c:x val="4.961577253937921E-2"/>
          <c:y val="3.618272274988693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pivots!$E$42:$E$46</c:f>
              <c:strCache>
                <c:ptCount val="5"/>
                <c:pt idx="0">
                  <c:v>R01</c:v>
                </c:pt>
                <c:pt idx="1">
                  <c:v>R02</c:v>
                </c:pt>
                <c:pt idx="2">
                  <c:v>R03</c:v>
                </c:pt>
                <c:pt idx="3">
                  <c:v>R04</c:v>
                </c:pt>
                <c:pt idx="4">
                  <c:v>R05</c:v>
                </c:pt>
              </c:strCache>
            </c:strRef>
          </c:cat>
          <c:val>
            <c:numRef>
              <c:f>pivots!$F$42:$F$46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295-4A31-8E99-2E3A43B06DC9}"/>
            </c:ext>
          </c:extLst>
        </c:ser>
        <c:ser>
          <c:idx val="1"/>
          <c:order val="1"/>
          <c:tx>
            <c:strRef>
              <c:f>pivots!$H$41</c:f>
              <c:strCache>
                <c:ptCount val="1"/>
                <c:pt idx="0">
                  <c:v>Sel.Calls</c:v>
                </c:pt>
              </c:strCache>
            </c:strRef>
          </c:tx>
          <c:spPr>
            <a:gradFill flip="none" rotWithShape="1">
              <a:gsLst>
                <a:gs pos="0">
                  <a:schemeClr val="accent5">
                    <a:lumMod val="75000"/>
                  </a:schemeClr>
                </a:gs>
                <a:gs pos="100000">
                  <a:schemeClr val="accent5"/>
                </a:gs>
              </a:gsLst>
              <a:lin ang="8100000" scaled="1"/>
              <a:tileRect/>
            </a:gradFill>
            <a:ln>
              <a:noFill/>
            </a:ln>
            <a:effectLst/>
          </c:spPr>
          <c:invertIfNegative val="0"/>
          <c:dPt>
            <c:idx val="1"/>
            <c:invertIfNegative val="0"/>
            <c:bubble3D val="0"/>
            <c:spPr>
              <a:gradFill flip="none" rotWithShape="1">
                <a:gsLst>
                  <a:gs pos="0">
                    <a:schemeClr val="accent5">
                      <a:lumMod val="75000"/>
                    </a:schemeClr>
                  </a:gs>
                  <a:gs pos="100000">
                    <a:schemeClr val="accent5"/>
                  </a:gs>
                </a:gsLst>
                <a:lin ang="8100000" scaled="1"/>
                <a:tileRect/>
              </a:gradFill>
              <a:ln>
                <a:noFill/>
              </a:ln>
              <a:effectLst/>
            </c:spPr>
            <c:extLst>
              <c:ext xmlns:c16="http://schemas.microsoft.com/office/drawing/2014/chart" uri="{C3380CC4-5D6E-409C-BE32-E72D297353CC}">
                <c16:uniqueId val="{00000002-1295-4A31-8E99-2E3A43B06DC9}"/>
              </c:ext>
            </c:extLst>
          </c:dPt>
          <c:val>
            <c:numRef>
              <c:f>pivots!$H$42:$H$46</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3-1295-4A31-8E99-2E3A43B06DC9}"/>
            </c:ext>
          </c:extLst>
        </c:ser>
        <c:dLbls>
          <c:showLegendKey val="0"/>
          <c:showVal val="0"/>
          <c:showCatName val="0"/>
          <c:showSerName val="0"/>
          <c:showPercent val="0"/>
          <c:showBubbleSize val="0"/>
        </c:dLbls>
        <c:gapWidth val="25"/>
        <c:overlap val="100"/>
        <c:axId val="742380095"/>
        <c:axId val="742382495"/>
      </c:barChart>
      <c:catAx>
        <c:axId val="7423800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382495"/>
        <c:crosses val="autoZero"/>
        <c:auto val="1"/>
        <c:lblAlgn val="ctr"/>
        <c:lblOffset val="100"/>
        <c:noMultiLvlLbl val="0"/>
      </c:catAx>
      <c:valAx>
        <c:axId val="742382495"/>
        <c:scaling>
          <c:orientation val="minMax"/>
          <c:min val="0"/>
        </c:scaling>
        <c:delete val="1"/>
        <c:axPos val="t"/>
        <c:numFmt formatCode="General" sourceLinked="1"/>
        <c:majorTickMark val="none"/>
        <c:minorTickMark val="none"/>
        <c:tickLblPos val="nextTo"/>
        <c:crossAx val="7423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solidFill>
                <a:latin typeface="+mj-lt"/>
              </a:rPr>
              <a:t>Amount</a:t>
            </a:r>
          </a:p>
        </c:rich>
      </c:tx>
      <c:layout>
        <c:manualLayout>
          <c:xMode val="edge"/>
          <c:yMode val="edge"/>
          <c:x val="5.3871536128336756E-2"/>
          <c:y val="4.0871934604904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pivots!$E$42:$E$46</c:f>
              <c:strCache>
                <c:ptCount val="5"/>
                <c:pt idx="0">
                  <c:v>R01</c:v>
                </c:pt>
                <c:pt idx="1">
                  <c:v>R02</c:v>
                </c:pt>
                <c:pt idx="2">
                  <c:v>R03</c:v>
                </c:pt>
                <c:pt idx="3">
                  <c:v>R04</c:v>
                </c:pt>
                <c:pt idx="4">
                  <c:v>R05</c:v>
                </c:pt>
              </c:strCache>
            </c:strRef>
          </c:cat>
          <c:val>
            <c:numRef>
              <c:f>pivots!$G$42:$G$46</c:f>
              <c:numCache>
                <c:formatCode>[$$-409]#,###.0,"k"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94F-4637-BB08-A57CCBEC604A}"/>
            </c:ext>
          </c:extLst>
        </c:ser>
        <c:ser>
          <c:idx val="1"/>
          <c:order val="1"/>
          <c:tx>
            <c:strRef>
              <c:f>pivots!$I$41</c:f>
              <c:strCache>
                <c:ptCount val="1"/>
                <c:pt idx="0">
                  <c:v>Sel.Amount</c:v>
                </c:pt>
              </c:strCache>
            </c:strRef>
          </c:tx>
          <c:spPr>
            <a:gradFill>
              <a:gsLst>
                <a:gs pos="0">
                  <a:schemeClr val="accent6"/>
                </a:gs>
                <a:gs pos="100000">
                  <a:schemeClr val="accent6">
                    <a:lumMod val="75000"/>
                  </a:schemeClr>
                </a:gs>
              </a:gsLst>
              <a:lin ang="0" scaled="1"/>
            </a:gradFill>
            <a:ln>
              <a:noFill/>
            </a:ln>
            <a:effectLst/>
          </c:spPr>
          <c:invertIfNegative val="0"/>
          <c:val>
            <c:numRef>
              <c:f>pivots!$I$42:$I$46</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E94F-4637-BB08-A57CCBEC604A}"/>
            </c:ext>
          </c:extLst>
        </c:ser>
        <c:dLbls>
          <c:showLegendKey val="0"/>
          <c:showVal val="0"/>
          <c:showCatName val="0"/>
          <c:showSerName val="0"/>
          <c:showPercent val="0"/>
          <c:showBubbleSize val="0"/>
        </c:dLbls>
        <c:gapWidth val="25"/>
        <c:overlap val="100"/>
        <c:axId val="742380095"/>
        <c:axId val="742382495"/>
      </c:barChart>
      <c:catAx>
        <c:axId val="742380095"/>
        <c:scaling>
          <c:orientation val="maxMin"/>
        </c:scaling>
        <c:delete val="1"/>
        <c:axPos val="l"/>
        <c:numFmt formatCode="General" sourceLinked="1"/>
        <c:majorTickMark val="none"/>
        <c:minorTickMark val="none"/>
        <c:tickLblPos val="nextTo"/>
        <c:crossAx val="742382495"/>
        <c:crosses val="autoZero"/>
        <c:auto val="1"/>
        <c:lblAlgn val="ctr"/>
        <c:lblOffset val="100"/>
        <c:noMultiLvlLbl val="0"/>
      </c:catAx>
      <c:valAx>
        <c:axId val="742382495"/>
        <c:scaling>
          <c:orientation val="minMax"/>
          <c:min val="0"/>
        </c:scaling>
        <c:delete val="1"/>
        <c:axPos val="t"/>
        <c:numFmt formatCode="[$$-409]#,###.0,&quot;k&quot;" sourceLinked="1"/>
        <c:majorTickMark val="none"/>
        <c:minorTickMark val="none"/>
        <c:tickLblPos val="nextTo"/>
        <c:crossAx val="7423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[04.sample-data-excel-portfolio-project.xlsx]pivots!Gender Pivot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latin typeface="+mj-lt"/>
              </a:rPr>
              <a:t>Female</a:t>
            </a:r>
            <a:r>
              <a:rPr lang="en-IN">
                <a:latin typeface="+mj-lt"/>
              </a:rPr>
              <a:t> vs. </a:t>
            </a:r>
            <a:r>
              <a:rPr lang="en-IN">
                <a:solidFill>
                  <a:schemeClr val="accent4"/>
                </a:solidFill>
                <a:latin typeface="+mj-lt"/>
              </a:rPr>
              <a:t>Male</a:t>
            </a:r>
            <a:r>
              <a:rPr lang="en-IN" baseline="0">
                <a:latin typeface="+mj-lt"/>
              </a:rPr>
              <a:t> Callers</a:t>
            </a:r>
            <a:endParaRPr lang="en-IN">
              <a:latin typeface="+mj-lt"/>
            </a:endParaRPr>
          </a:p>
        </c:rich>
      </c:tx>
      <c:layout>
        <c:manualLayout>
          <c:xMode val="edge"/>
          <c:yMode val="edge"/>
          <c:x val="5.901760600276551E-2"/>
          <c:y val="5.6518295016599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pivots!$B$58:$B$59</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pivots!$A$60:$A$63</c:f>
              <c:strCache>
                <c:ptCount val="3"/>
                <c:pt idx="0">
                  <c:v>Cincinnati</c:v>
                </c:pt>
                <c:pt idx="1">
                  <c:v>Cleveland</c:v>
                </c:pt>
                <c:pt idx="2">
                  <c:v>Columbus</c:v>
                </c:pt>
              </c:strCache>
            </c:strRef>
          </c:cat>
          <c:val>
            <c:numRef>
              <c:f>pivots!$B$60:$B$63</c:f>
              <c:numCache>
                <c:formatCode>General</c:formatCode>
                <c:ptCount val="3"/>
                <c:pt idx="0">
                  <c:v>144</c:v>
                </c:pt>
                <c:pt idx="1">
                  <c:v>326</c:v>
                </c:pt>
                <c:pt idx="2">
                  <c:v>129</c:v>
                </c:pt>
              </c:numCache>
            </c:numRef>
          </c:val>
          <c:extLst>
            <c:ext xmlns:c16="http://schemas.microsoft.com/office/drawing/2014/chart" uri="{C3380CC4-5D6E-409C-BE32-E72D297353CC}">
              <c16:uniqueId val="{00000000-4D2F-4322-B353-5EE9D48208E1}"/>
            </c:ext>
          </c:extLst>
        </c:ser>
        <c:ser>
          <c:idx val="1"/>
          <c:order val="1"/>
          <c:tx>
            <c:strRef>
              <c:f>pivots!$C$58:$C$59</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pivots!$A$60:$A$63</c:f>
              <c:strCache>
                <c:ptCount val="3"/>
                <c:pt idx="0">
                  <c:v>Cincinnati</c:v>
                </c:pt>
                <c:pt idx="1">
                  <c:v>Cleveland</c:v>
                </c:pt>
                <c:pt idx="2">
                  <c:v>Columbus</c:v>
                </c:pt>
              </c:strCache>
            </c:strRef>
          </c:cat>
          <c:val>
            <c:numRef>
              <c:f>pivots!$C$60:$C$63</c:f>
              <c:numCache>
                <c:formatCode>General</c:formatCode>
                <c:ptCount val="3"/>
                <c:pt idx="0">
                  <c:v>132</c:v>
                </c:pt>
                <c:pt idx="1">
                  <c:v>63</c:v>
                </c:pt>
                <c:pt idx="2">
                  <c:v>206</c:v>
                </c:pt>
              </c:numCache>
            </c:numRef>
          </c:val>
          <c:extLst>
            <c:ext xmlns:c16="http://schemas.microsoft.com/office/drawing/2014/chart" uri="{C3380CC4-5D6E-409C-BE32-E72D297353CC}">
              <c16:uniqueId val="{00000001-4D2F-4322-B353-5EE9D48208E1}"/>
            </c:ext>
          </c:extLst>
        </c:ser>
        <c:dLbls>
          <c:dLblPos val="ctr"/>
          <c:showLegendKey val="0"/>
          <c:showVal val="1"/>
          <c:showCatName val="0"/>
          <c:showSerName val="0"/>
          <c:showPercent val="0"/>
          <c:showBubbleSize val="0"/>
        </c:dLbls>
        <c:gapWidth val="25"/>
        <c:overlap val="100"/>
        <c:axId val="1132653472"/>
        <c:axId val="1132652992"/>
      </c:barChart>
      <c:catAx>
        <c:axId val="1132653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652992"/>
        <c:crosses val="autoZero"/>
        <c:auto val="1"/>
        <c:lblAlgn val="ctr"/>
        <c:lblOffset val="100"/>
        <c:noMultiLvlLbl val="0"/>
      </c:catAx>
      <c:valAx>
        <c:axId val="1132652992"/>
        <c:scaling>
          <c:orientation val="minMax"/>
        </c:scaling>
        <c:delete val="1"/>
        <c:axPos val="l"/>
        <c:numFmt formatCode="0%" sourceLinked="1"/>
        <c:majorTickMark val="out"/>
        <c:minorTickMark val="none"/>
        <c:tickLblPos val="nextTo"/>
        <c:crossAx val="113265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[04.sample-data-excel-portfolio-project.xlsx]pivots!Rep satisfaction</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pivots!$B$66</c:f>
              <c:strCache>
                <c:ptCount val="1"/>
                <c:pt idx="0">
                  <c:v>Total</c:v>
                </c:pt>
              </c:strCache>
            </c:strRef>
          </c:tx>
          <c:spPr>
            <a:solidFill>
              <a:schemeClr val="bg2">
                <a:lumMod val="50000"/>
              </a:schemeClr>
            </a:solidFill>
            <a:ln>
              <a:noFill/>
            </a:ln>
            <a:effectLst/>
          </c:spPr>
          <c:invertIfNegative val="0"/>
          <c:cat>
            <c:strRef>
              <c:f>pivots!$A$67:$A$72</c:f>
              <c:strCache>
                <c:ptCount val="5"/>
                <c:pt idx="0">
                  <c:v>1</c:v>
                </c:pt>
                <c:pt idx="1">
                  <c:v>2</c:v>
                </c:pt>
                <c:pt idx="2">
                  <c:v>3</c:v>
                </c:pt>
                <c:pt idx="3">
                  <c:v>4</c:v>
                </c:pt>
                <c:pt idx="4">
                  <c:v>5</c:v>
                </c:pt>
              </c:strCache>
            </c:strRef>
          </c:cat>
          <c:val>
            <c:numRef>
              <c:f>pivots!$B$67:$B$72</c:f>
              <c:numCache>
                <c:formatCode>General</c:formatCode>
                <c:ptCount val="5"/>
                <c:pt idx="0">
                  <c:v>3</c:v>
                </c:pt>
                <c:pt idx="1">
                  <c:v>19</c:v>
                </c:pt>
                <c:pt idx="2">
                  <c:v>35</c:v>
                </c:pt>
                <c:pt idx="3">
                  <c:v>87</c:v>
                </c:pt>
                <c:pt idx="4">
                  <c:v>74</c:v>
                </c:pt>
              </c:numCache>
            </c:numRef>
          </c:val>
          <c:extLst>
            <c:ext xmlns:c16="http://schemas.microsoft.com/office/drawing/2014/chart" uri="{C3380CC4-5D6E-409C-BE32-E72D297353CC}">
              <c16:uniqueId val="{00000000-75C2-4A8E-BA30-7577C9437DC1}"/>
            </c:ext>
          </c:extLst>
        </c:ser>
        <c:dLbls>
          <c:showLegendKey val="0"/>
          <c:showVal val="0"/>
          <c:showCatName val="0"/>
          <c:showSerName val="0"/>
          <c:showPercent val="0"/>
          <c:showBubbleSize val="0"/>
        </c:dLbls>
        <c:gapWidth val="10"/>
        <c:overlap val="-27"/>
        <c:axId val="1735085328"/>
        <c:axId val="1735102128"/>
      </c:barChart>
      <c:catAx>
        <c:axId val="173508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02128"/>
        <c:crosses val="autoZero"/>
        <c:auto val="1"/>
        <c:lblAlgn val="ctr"/>
        <c:lblOffset val="100"/>
        <c:noMultiLvlLbl val="0"/>
      </c:catAx>
      <c:valAx>
        <c:axId val="1735102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08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chart" Target="../charts/chart3.xml"/><Relationship Id="rId3" Type="http://schemas.openxmlformats.org/officeDocument/2006/relationships/image" Target="../media/image19.svg"/><Relationship Id="rId7" Type="http://schemas.openxmlformats.org/officeDocument/2006/relationships/image" Target="../media/image23.svg"/><Relationship Id="rId12" Type="http://schemas.openxmlformats.org/officeDocument/2006/relationships/chart" Target="../charts/chart2.xml"/><Relationship Id="rId2" Type="http://schemas.openxmlformats.org/officeDocument/2006/relationships/image" Target="../media/image18.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22.png"/><Relationship Id="rId11" Type="http://schemas.openxmlformats.org/officeDocument/2006/relationships/image" Target="../media/image27.svg"/><Relationship Id="rId5" Type="http://schemas.openxmlformats.org/officeDocument/2006/relationships/image" Target="../media/image21.svg"/><Relationship Id="rId15" Type="http://schemas.openxmlformats.org/officeDocument/2006/relationships/chart" Target="../charts/chart5.xml"/><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52192</xdr:colOff>
      <xdr:row>20</xdr:row>
      <xdr:rowOff>0</xdr:rowOff>
    </xdr:from>
    <xdr:to>
      <xdr:col>13</xdr:col>
      <xdr:colOff>657616</xdr:colOff>
      <xdr:row>29</xdr:row>
      <xdr:rowOff>114822</xdr:rowOff>
    </xdr:to>
    <mc:AlternateContent xmlns:mc="http://schemas.openxmlformats.org/markup-compatibility/2006" xmlns:a14="http://schemas.microsoft.com/office/drawing/2010/main">
      <mc:Choice Requires="a14">
        <xdr:graphicFrame macro="">
          <xdr:nvGraphicFramePr>
            <xdr:cNvPr id="6" name="Representative">
              <a:extLst>
                <a:ext uri="{FF2B5EF4-FFF2-40B4-BE49-F238E27FC236}">
                  <a16:creationId xmlns:a16="http://schemas.microsoft.com/office/drawing/2014/main" id="{B610C166-4AB2-4708-82FD-304C5BAF779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670110" y="3757808"/>
              <a:ext cx="1273479" cy="1805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19</xdr:row>
      <xdr:rowOff>17929</xdr:rowOff>
    </xdr:from>
    <xdr:to>
      <xdr:col>12</xdr:col>
      <xdr:colOff>0</xdr:colOff>
      <xdr:row>38</xdr:row>
      <xdr:rowOff>0</xdr:rowOff>
    </xdr:to>
    <xdr:sp macro="" textlink="">
      <xdr:nvSpPr>
        <xdr:cNvPr id="9" name="Rectangle 8">
          <a:extLst>
            <a:ext uri="{FF2B5EF4-FFF2-40B4-BE49-F238E27FC236}">
              <a16:creationId xmlns:a16="http://schemas.microsoft.com/office/drawing/2014/main" id="{B7415374-1A1A-EB3C-6D1F-271E009632FF}"/>
            </a:ext>
          </a:extLst>
        </xdr:cNvPr>
        <xdr:cNvSpPr/>
      </xdr:nvSpPr>
      <xdr:spPr>
        <a:xfrm>
          <a:off x="1935892" y="3539605"/>
          <a:ext cx="4685270" cy="3503746"/>
        </a:xfrm>
        <a:prstGeom prst="rect">
          <a:avLst/>
        </a:prstGeom>
        <a:solidFill>
          <a:schemeClr val="bg1"/>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224118</xdr:colOff>
      <xdr:row>4</xdr:row>
      <xdr:rowOff>53788</xdr:rowOff>
    </xdr:from>
    <xdr:to>
      <xdr:col>14</xdr:col>
      <xdr:colOff>0</xdr:colOff>
      <xdr:row>15</xdr:row>
      <xdr:rowOff>89647</xdr:rowOff>
    </xdr:to>
    <xdr:graphicFrame macro="">
      <xdr:nvGraphicFramePr>
        <xdr:cNvPr id="5" name="Chart 4">
          <a:extLst>
            <a:ext uri="{FF2B5EF4-FFF2-40B4-BE49-F238E27FC236}">
              <a16:creationId xmlns:a16="http://schemas.microsoft.com/office/drawing/2014/main" id="{2F8219D2-B629-4F17-9E75-731FB1BB4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xdr:row>
      <xdr:rowOff>179293</xdr:rowOff>
    </xdr:from>
    <xdr:to>
      <xdr:col>3</xdr:col>
      <xdr:colOff>659647</xdr:colOff>
      <xdr:row>7</xdr:row>
      <xdr:rowOff>3528</xdr:rowOff>
    </xdr:to>
    <xdr:sp macro="" textlink="pivots!A4">
      <xdr:nvSpPr>
        <xdr:cNvPr id="2" name="Rectangle 1">
          <a:extLst>
            <a:ext uri="{FF2B5EF4-FFF2-40B4-BE49-F238E27FC236}">
              <a16:creationId xmlns:a16="http://schemas.microsoft.com/office/drawing/2014/main" id="{83618E32-F38D-0122-E26F-2E04D2A662A2}"/>
            </a:ext>
          </a:extLst>
        </xdr:cNvPr>
        <xdr:cNvSpPr/>
      </xdr:nvSpPr>
      <xdr:spPr>
        <a:xfrm>
          <a:off x="331694" y="358587"/>
          <a:ext cx="1332000" cy="9000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29BC2F-CB52-4FF3-A2F7-EB5314AF6508}" type="TxLink">
            <a:rPr lang="en-US" sz="2400" b="0" i="0" u="none" strike="noStrike">
              <a:ln>
                <a:noFill/>
              </a:ln>
              <a:solidFill>
                <a:schemeClr val="bg1"/>
              </a:solidFill>
              <a:latin typeface="+mj-lt"/>
            </a:rPr>
            <a:pPr algn="ctr"/>
            <a:t>1,000</a:t>
          </a:fld>
          <a:endParaRPr lang="en-IN" sz="2400">
            <a:ln>
              <a:noFill/>
            </a:ln>
            <a:solidFill>
              <a:schemeClr val="bg1"/>
            </a:solidFill>
            <a:latin typeface="+mj-lt"/>
          </a:endParaRPr>
        </a:p>
      </xdr:txBody>
    </xdr:sp>
    <xdr:clientData/>
  </xdr:twoCellAnchor>
  <xdr:twoCellAnchor>
    <xdr:from>
      <xdr:col>2</xdr:col>
      <xdr:colOff>242047</xdr:colOff>
      <xdr:row>2</xdr:row>
      <xdr:rowOff>80683</xdr:rowOff>
    </xdr:from>
    <xdr:to>
      <xdr:col>3</xdr:col>
      <xdr:colOff>466165</xdr:colOff>
      <xdr:row>3</xdr:row>
      <xdr:rowOff>44825</xdr:rowOff>
    </xdr:to>
    <xdr:sp macro="" textlink="">
      <xdr:nvSpPr>
        <xdr:cNvPr id="3" name="TextBox 2">
          <a:extLst>
            <a:ext uri="{FF2B5EF4-FFF2-40B4-BE49-F238E27FC236}">
              <a16:creationId xmlns:a16="http://schemas.microsoft.com/office/drawing/2014/main" id="{9434DB70-BAE8-D12C-D3A2-0B19EC54EDB4}"/>
            </a:ext>
          </a:extLst>
        </xdr:cNvPr>
        <xdr:cNvSpPr txBox="1"/>
      </xdr:nvSpPr>
      <xdr:spPr>
        <a:xfrm>
          <a:off x="573741" y="439271"/>
          <a:ext cx="896471" cy="143436"/>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n>
                <a:noFill/>
              </a:ln>
              <a:solidFill>
                <a:schemeClr val="bg1">
                  <a:lumMod val="95000"/>
                </a:schemeClr>
              </a:solidFill>
              <a:latin typeface="+mj-lt"/>
            </a:rPr>
            <a:t>Calls</a:t>
          </a:r>
        </a:p>
      </xdr:txBody>
    </xdr:sp>
    <xdr:clientData/>
  </xdr:twoCellAnchor>
  <xdr:twoCellAnchor editAs="oneCell">
    <xdr:from>
      <xdr:col>2</xdr:col>
      <xdr:colOff>51976</xdr:colOff>
      <xdr:row>2</xdr:row>
      <xdr:rowOff>59829</xdr:rowOff>
    </xdr:from>
    <xdr:to>
      <xdr:col>2</xdr:col>
      <xdr:colOff>253485</xdr:colOff>
      <xdr:row>3</xdr:row>
      <xdr:rowOff>77154</xdr:rowOff>
    </xdr:to>
    <xdr:pic>
      <xdr:nvPicPr>
        <xdr:cNvPr id="18" name="Graphic 17" descr="Receiver with solid fill">
          <a:extLst>
            <a:ext uri="{FF2B5EF4-FFF2-40B4-BE49-F238E27FC236}">
              <a16:creationId xmlns:a16="http://schemas.microsoft.com/office/drawing/2014/main" id="{F45EE10B-ED86-4FDA-8082-51FA397C4C8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380000">
          <a:off x="383670" y="418417"/>
          <a:ext cx="201509" cy="196620"/>
        </a:xfrm>
        <a:prstGeom prst="rect">
          <a:avLst/>
        </a:prstGeom>
      </xdr:spPr>
    </xdr:pic>
    <xdr:clientData/>
  </xdr:twoCellAnchor>
  <xdr:twoCellAnchor>
    <xdr:from>
      <xdr:col>2</xdr:col>
      <xdr:colOff>152401</xdr:colOff>
      <xdr:row>5</xdr:row>
      <xdr:rowOff>125506</xdr:rowOff>
    </xdr:from>
    <xdr:to>
      <xdr:col>3</xdr:col>
      <xdr:colOff>528918</xdr:colOff>
      <xdr:row>6</xdr:row>
      <xdr:rowOff>125506</xdr:rowOff>
    </xdr:to>
    <xdr:sp macro="" textlink="pivots!A10">
      <xdr:nvSpPr>
        <xdr:cNvPr id="19" name="TextBox 18">
          <a:extLst>
            <a:ext uri="{FF2B5EF4-FFF2-40B4-BE49-F238E27FC236}">
              <a16:creationId xmlns:a16="http://schemas.microsoft.com/office/drawing/2014/main" id="{DB4124EF-125C-C571-7574-7F96DB5B2731}"/>
            </a:ext>
          </a:extLst>
        </xdr:cNvPr>
        <xdr:cNvSpPr txBox="1"/>
      </xdr:nvSpPr>
      <xdr:spPr>
        <a:xfrm>
          <a:off x="484095" y="1021977"/>
          <a:ext cx="1048870" cy="179294"/>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7D42F1-B000-4D48-A1A5-229B88482CC7}" type="TxLink">
            <a:rPr lang="en-US" sz="1100" b="0" i="0" u="none" strike="noStrike">
              <a:ln>
                <a:noFill/>
              </a:ln>
              <a:solidFill>
                <a:schemeClr val="accent6">
                  <a:lumMod val="20000"/>
                  <a:lumOff val="80000"/>
                </a:schemeClr>
              </a:solidFill>
              <a:latin typeface="Aptos"/>
            </a:rPr>
            <a:pPr algn="ctr"/>
            <a:t>218</a:t>
          </a:fld>
          <a:endParaRPr lang="en-IN" sz="1100">
            <a:ln>
              <a:noFill/>
            </a:ln>
            <a:solidFill>
              <a:schemeClr val="accent6">
                <a:lumMod val="20000"/>
                <a:lumOff val="80000"/>
              </a:schemeClr>
            </a:solidFill>
          </a:endParaRPr>
        </a:p>
      </xdr:txBody>
    </xdr:sp>
    <xdr:clientData/>
  </xdr:twoCellAnchor>
  <xdr:twoCellAnchor>
    <xdr:from>
      <xdr:col>2</xdr:col>
      <xdr:colOff>0</xdr:colOff>
      <xdr:row>9</xdr:row>
      <xdr:rowOff>66270</xdr:rowOff>
    </xdr:from>
    <xdr:to>
      <xdr:col>4</xdr:col>
      <xdr:colOff>0</xdr:colOff>
      <xdr:row>14</xdr:row>
      <xdr:rowOff>25354</xdr:rowOff>
    </xdr:to>
    <xdr:sp macro="" textlink="pivots!B4">
      <xdr:nvSpPr>
        <xdr:cNvPr id="20" name="Rectangle 19">
          <a:extLst>
            <a:ext uri="{FF2B5EF4-FFF2-40B4-BE49-F238E27FC236}">
              <a16:creationId xmlns:a16="http://schemas.microsoft.com/office/drawing/2014/main" id="{929F5AEC-38FB-489C-96FB-F2CB1ADAC0D8}"/>
            </a:ext>
          </a:extLst>
        </xdr:cNvPr>
        <xdr:cNvSpPr/>
      </xdr:nvSpPr>
      <xdr:spPr>
        <a:xfrm>
          <a:off x="331304" y="1755922"/>
          <a:ext cx="1347305" cy="8977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3196A4-F160-4239-8C24-F13888AB5B12}" type="TxLink">
            <a:rPr lang="en-US" sz="2400" b="0" i="0" u="none" strike="noStrike">
              <a:ln>
                <a:noFill/>
              </a:ln>
              <a:solidFill>
                <a:schemeClr val="bg1"/>
              </a:solidFill>
              <a:latin typeface="+mj-lt"/>
            </a:rPr>
            <a:pPr algn="ctr"/>
            <a:t>$96,623</a:t>
          </a:fld>
          <a:endParaRPr lang="en-IN" sz="2400">
            <a:ln>
              <a:noFill/>
            </a:ln>
            <a:solidFill>
              <a:schemeClr val="bg1"/>
            </a:solidFill>
            <a:latin typeface="+mj-lt"/>
          </a:endParaRPr>
        </a:p>
      </xdr:txBody>
    </xdr:sp>
    <xdr:clientData/>
  </xdr:twoCellAnchor>
  <xdr:twoCellAnchor>
    <xdr:from>
      <xdr:col>2</xdr:col>
      <xdr:colOff>268941</xdr:colOff>
      <xdr:row>9</xdr:row>
      <xdr:rowOff>155918</xdr:rowOff>
    </xdr:from>
    <xdr:to>
      <xdr:col>3</xdr:col>
      <xdr:colOff>493059</xdr:colOff>
      <xdr:row>10</xdr:row>
      <xdr:rowOff>120060</xdr:rowOff>
    </xdr:to>
    <xdr:sp macro="" textlink="">
      <xdr:nvSpPr>
        <xdr:cNvPr id="21" name="TextBox 20">
          <a:extLst>
            <a:ext uri="{FF2B5EF4-FFF2-40B4-BE49-F238E27FC236}">
              <a16:creationId xmlns:a16="http://schemas.microsoft.com/office/drawing/2014/main" id="{9C67CD71-E803-484E-A16F-A1B938DD59AD}"/>
            </a:ext>
          </a:extLst>
        </xdr:cNvPr>
        <xdr:cNvSpPr txBox="1"/>
      </xdr:nvSpPr>
      <xdr:spPr>
        <a:xfrm>
          <a:off x="600245" y="1845570"/>
          <a:ext cx="897771" cy="151881"/>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n>
                <a:noFill/>
              </a:ln>
              <a:solidFill>
                <a:schemeClr val="bg1">
                  <a:lumMod val="95000"/>
                </a:schemeClr>
              </a:solidFill>
              <a:latin typeface="+mj-lt"/>
            </a:rPr>
            <a:t>Amount</a:t>
          </a:r>
        </a:p>
      </xdr:txBody>
    </xdr:sp>
    <xdr:clientData/>
  </xdr:twoCellAnchor>
  <xdr:twoCellAnchor>
    <xdr:from>
      <xdr:col>2</xdr:col>
      <xdr:colOff>152401</xdr:colOff>
      <xdr:row>13</xdr:row>
      <xdr:rowOff>4038</xdr:rowOff>
    </xdr:from>
    <xdr:to>
      <xdr:col>3</xdr:col>
      <xdr:colOff>528918</xdr:colOff>
      <xdr:row>14</xdr:row>
      <xdr:rowOff>4037</xdr:rowOff>
    </xdr:to>
    <xdr:sp macro="" textlink="pivots!B10">
      <xdr:nvSpPr>
        <xdr:cNvPr id="23" name="TextBox 22">
          <a:extLst>
            <a:ext uri="{FF2B5EF4-FFF2-40B4-BE49-F238E27FC236}">
              <a16:creationId xmlns:a16="http://schemas.microsoft.com/office/drawing/2014/main" id="{881EA989-7A6F-4E81-A3CD-E902747D51E8}"/>
            </a:ext>
          </a:extLst>
        </xdr:cNvPr>
        <xdr:cNvSpPr txBox="1"/>
      </xdr:nvSpPr>
      <xdr:spPr>
        <a:xfrm>
          <a:off x="483705" y="2444647"/>
          <a:ext cx="1050170" cy="18773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A7A558-1D66-4D75-8710-052AA673F133}" type="TxLink">
            <a:rPr lang="en-US" sz="1100" b="0" i="0" u="none" strike="noStrike">
              <a:ln>
                <a:noFill/>
              </a:ln>
              <a:solidFill>
                <a:schemeClr val="accent6">
                  <a:lumMod val="20000"/>
                  <a:lumOff val="80000"/>
                </a:schemeClr>
              </a:solidFill>
              <a:latin typeface="Aptos"/>
            </a:rPr>
            <a:pPr algn="ctr"/>
            <a:t>$20,581</a:t>
          </a:fld>
          <a:endParaRPr lang="en-IN" sz="1100">
            <a:ln>
              <a:noFill/>
            </a:ln>
            <a:solidFill>
              <a:schemeClr val="accent6">
                <a:lumMod val="20000"/>
                <a:lumOff val="80000"/>
              </a:schemeClr>
            </a:solidFill>
          </a:endParaRPr>
        </a:p>
      </xdr:txBody>
    </xdr:sp>
    <xdr:clientData/>
  </xdr:twoCellAnchor>
  <xdr:twoCellAnchor>
    <xdr:from>
      <xdr:col>2</xdr:col>
      <xdr:colOff>0</xdr:colOff>
      <xdr:row>16</xdr:row>
      <xdr:rowOff>177551</xdr:rowOff>
    </xdr:from>
    <xdr:to>
      <xdr:col>4</xdr:col>
      <xdr:colOff>0</xdr:colOff>
      <xdr:row>22</xdr:row>
      <xdr:rowOff>940</xdr:rowOff>
    </xdr:to>
    <xdr:sp macro="" textlink="pivots!C4">
      <xdr:nvSpPr>
        <xdr:cNvPr id="24" name="Rectangle 23">
          <a:extLst>
            <a:ext uri="{FF2B5EF4-FFF2-40B4-BE49-F238E27FC236}">
              <a16:creationId xmlns:a16="http://schemas.microsoft.com/office/drawing/2014/main" id="{12280549-BC0F-4AEE-8726-B974E5802072}"/>
            </a:ext>
          </a:extLst>
        </xdr:cNvPr>
        <xdr:cNvSpPr/>
      </xdr:nvSpPr>
      <xdr:spPr>
        <a:xfrm>
          <a:off x="337457" y="3138465"/>
          <a:ext cx="1349829" cy="933732"/>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1A77A6-A44B-4426-AF46-4C5CB38B582A}" type="TxLink">
            <a:rPr lang="en-US" sz="2400" b="0" i="0" u="none" strike="noStrike">
              <a:ln>
                <a:noFill/>
              </a:ln>
              <a:solidFill>
                <a:schemeClr val="bg1"/>
              </a:solidFill>
              <a:latin typeface="+mj-lt"/>
            </a:rPr>
            <a:pPr algn="ctr"/>
            <a:t>89,850</a:t>
          </a:fld>
          <a:endParaRPr lang="en-IN" sz="2400">
            <a:ln>
              <a:noFill/>
            </a:ln>
            <a:solidFill>
              <a:schemeClr val="bg1"/>
            </a:solidFill>
            <a:latin typeface="+mj-lt"/>
          </a:endParaRPr>
        </a:p>
      </xdr:txBody>
    </xdr:sp>
    <xdr:clientData/>
  </xdr:twoCellAnchor>
  <xdr:twoCellAnchor>
    <xdr:from>
      <xdr:col>2</xdr:col>
      <xdr:colOff>251011</xdr:colOff>
      <xdr:row>17</xdr:row>
      <xdr:rowOff>91933</xdr:rowOff>
    </xdr:from>
    <xdr:to>
      <xdr:col>3</xdr:col>
      <xdr:colOff>475129</xdr:colOff>
      <xdr:row>18</xdr:row>
      <xdr:rowOff>63695</xdr:rowOff>
    </xdr:to>
    <xdr:sp macro="" textlink="">
      <xdr:nvSpPr>
        <xdr:cNvPr id="25" name="TextBox 24">
          <a:extLst>
            <a:ext uri="{FF2B5EF4-FFF2-40B4-BE49-F238E27FC236}">
              <a16:creationId xmlns:a16="http://schemas.microsoft.com/office/drawing/2014/main" id="{C5A2FD1C-E284-4991-89BA-E2FDE9543B8C}"/>
            </a:ext>
          </a:extLst>
        </xdr:cNvPr>
        <xdr:cNvSpPr txBox="1"/>
      </xdr:nvSpPr>
      <xdr:spPr>
        <a:xfrm>
          <a:off x="588468" y="3237904"/>
          <a:ext cx="899032" cy="15682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n>
                <a:noFill/>
              </a:ln>
              <a:solidFill>
                <a:schemeClr val="bg1">
                  <a:lumMod val="95000"/>
                </a:schemeClr>
              </a:solidFill>
              <a:latin typeface="+mj-lt"/>
            </a:rPr>
            <a:t>Duration</a:t>
          </a:r>
        </a:p>
      </xdr:txBody>
    </xdr:sp>
    <xdr:clientData/>
  </xdr:twoCellAnchor>
  <xdr:twoCellAnchor>
    <xdr:from>
      <xdr:col>2</xdr:col>
      <xdr:colOff>152401</xdr:colOff>
      <xdr:row>20</xdr:row>
      <xdr:rowOff>123763</xdr:rowOff>
    </xdr:from>
    <xdr:to>
      <xdr:col>3</xdr:col>
      <xdr:colOff>528918</xdr:colOff>
      <xdr:row>21</xdr:row>
      <xdr:rowOff>123764</xdr:rowOff>
    </xdr:to>
    <xdr:sp macro="" textlink="pivots!C10">
      <xdr:nvSpPr>
        <xdr:cNvPr id="27" name="TextBox 26">
          <a:extLst>
            <a:ext uri="{FF2B5EF4-FFF2-40B4-BE49-F238E27FC236}">
              <a16:creationId xmlns:a16="http://schemas.microsoft.com/office/drawing/2014/main" id="{87856B2E-269B-4D18-AF0D-41CF59CCF123}"/>
            </a:ext>
          </a:extLst>
        </xdr:cNvPr>
        <xdr:cNvSpPr txBox="1"/>
      </xdr:nvSpPr>
      <xdr:spPr>
        <a:xfrm>
          <a:off x="489858" y="3824906"/>
          <a:ext cx="1051431" cy="18505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BB07B6-D0BD-4421-8196-21D121F796F2}" type="TxLink">
            <a:rPr lang="en-US" sz="1100" b="0" i="0" u="none" strike="noStrike">
              <a:ln>
                <a:noFill/>
              </a:ln>
              <a:solidFill>
                <a:schemeClr val="accent6">
                  <a:lumMod val="20000"/>
                  <a:lumOff val="80000"/>
                </a:schemeClr>
              </a:solidFill>
              <a:latin typeface="Aptos"/>
            </a:rPr>
            <a:pPr algn="ctr"/>
            <a:t>19,300</a:t>
          </a:fld>
          <a:endParaRPr lang="en-US" sz="1100" b="0" i="0" u="none" strike="noStrike">
            <a:ln>
              <a:noFill/>
            </a:ln>
            <a:solidFill>
              <a:schemeClr val="accent6">
                <a:lumMod val="20000"/>
                <a:lumOff val="80000"/>
              </a:schemeClr>
            </a:solidFill>
            <a:latin typeface="Aptos"/>
          </a:endParaRPr>
        </a:p>
      </xdr:txBody>
    </xdr:sp>
    <xdr:clientData/>
  </xdr:twoCellAnchor>
  <xdr:twoCellAnchor>
    <xdr:from>
      <xdr:col>2</xdr:col>
      <xdr:colOff>0</xdr:colOff>
      <xdr:row>25</xdr:row>
      <xdr:rowOff>3419</xdr:rowOff>
    </xdr:from>
    <xdr:to>
      <xdr:col>4</xdr:col>
      <xdr:colOff>0</xdr:colOff>
      <xdr:row>30</xdr:row>
      <xdr:rowOff>3420</xdr:rowOff>
    </xdr:to>
    <xdr:sp macro="" textlink="pivots!D4">
      <xdr:nvSpPr>
        <xdr:cNvPr id="32" name="Rectangle 31">
          <a:extLst>
            <a:ext uri="{FF2B5EF4-FFF2-40B4-BE49-F238E27FC236}">
              <a16:creationId xmlns:a16="http://schemas.microsoft.com/office/drawing/2014/main" id="{7DC881B1-9747-40C0-B499-86B473E2F0F5}"/>
            </a:ext>
          </a:extLst>
        </xdr:cNvPr>
        <xdr:cNvSpPr/>
      </xdr:nvSpPr>
      <xdr:spPr>
        <a:xfrm>
          <a:off x="331304" y="4696897"/>
          <a:ext cx="1347305" cy="938697"/>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5D24FD-9965-447A-B993-40A321066CBC}" type="TxLink">
            <a:rPr lang="en-US" sz="2400" b="0" i="0" u="none" strike="noStrike">
              <a:ln>
                <a:noFill/>
              </a:ln>
              <a:solidFill>
                <a:schemeClr val="bg1"/>
              </a:solidFill>
              <a:latin typeface="+mj-lt"/>
            </a:rPr>
            <a:pPr algn="ctr"/>
            <a:t>3.9</a:t>
          </a:fld>
          <a:endParaRPr lang="en-IN" sz="2400">
            <a:ln>
              <a:noFill/>
            </a:ln>
            <a:solidFill>
              <a:schemeClr val="bg1"/>
            </a:solidFill>
            <a:latin typeface="+mj-lt"/>
          </a:endParaRPr>
        </a:p>
      </xdr:txBody>
    </xdr:sp>
    <xdr:clientData/>
  </xdr:twoCellAnchor>
  <xdr:twoCellAnchor>
    <xdr:from>
      <xdr:col>2</xdr:col>
      <xdr:colOff>251011</xdr:colOff>
      <xdr:row>25</xdr:row>
      <xdr:rowOff>73793</xdr:rowOff>
    </xdr:from>
    <xdr:to>
      <xdr:col>3</xdr:col>
      <xdr:colOff>546847</xdr:colOff>
      <xdr:row>26</xdr:row>
      <xdr:rowOff>102033</xdr:rowOff>
    </xdr:to>
    <xdr:sp macro="" textlink="">
      <xdr:nvSpPr>
        <xdr:cNvPr id="33" name="TextBox 32">
          <a:extLst>
            <a:ext uri="{FF2B5EF4-FFF2-40B4-BE49-F238E27FC236}">
              <a16:creationId xmlns:a16="http://schemas.microsoft.com/office/drawing/2014/main" id="{54E39547-0EC6-4CD1-BF9F-B93FEB018336}"/>
            </a:ext>
          </a:extLst>
        </xdr:cNvPr>
        <xdr:cNvSpPr txBox="1"/>
      </xdr:nvSpPr>
      <xdr:spPr>
        <a:xfrm>
          <a:off x="582315" y="4767271"/>
          <a:ext cx="969489" cy="215979"/>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n>
                <a:noFill/>
              </a:ln>
              <a:solidFill>
                <a:schemeClr val="bg1">
                  <a:lumMod val="95000"/>
                </a:schemeClr>
              </a:solidFill>
              <a:latin typeface="+mj-lt"/>
            </a:rPr>
            <a:t>Avg. Rating</a:t>
          </a:r>
        </a:p>
      </xdr:txBody>
    </xdr:sp>
    <xdr:clientData/>
  </xdr:twoCellAnchor>
  <xdr:twoCellAnchor>
    <xdr:from>
      <xdr:col>2</xdr:col>
      <xdr:colOff>152401</xdr:colOff>
      <xdr:row>28</xdr:row>
      <xdr:rowOff>136545</xdr:rowOff>
    </xdr:from>
    <xdr:to>
      <xdr:col>3</xdr:col>
      <xdr:colOff>528918</xdr:colOff>
      <xdr:row>29</xdr:row>
      <xdr:rowOff>136546</xdr:rowOff>
    </xdr:to>
    <xdr:sp macro="" textlink="pivots!D10">
      <xdr:nvSpPr>
        <xdr:cNvPr id="35" name="TextBox 34">
          <a:extLst>
            <a:ext uri="{FF2B5EF4-FFF2-40B4-BE49-F238E27FC236}">
              <a16:creationId xmlns:a16="http://schemas.microsoft.com/office/drawing/2014/main" id="{60CE60E3-DD41-4397-8919-3FD7D9E34E17}"/>
            </a:ext>
          </a:extLst>
        </xdr:cNvPr>
        <xdr:cNvSpPr txBox="1"/>
      </xdr:nvSpPr>
      <xdr:spPr>
        <a:xfrm>
          <a:off x="483705" y="5393241"/>
          <a:ext cx="1050170" cy="1877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8E4328-D008-4B14-A8BE-D79FC6A03E90}" type="TxLink">
            <a:rPr lang="en-US" sz="1100" b="0" i="0" u="none" strike="noStrike">
              <a:ln>
                <a:noFill/>
              </a:ln>
              <a:solidFill>
                <a:schemeClr val="accent6">
                  <a:lumMod val="20000"/>
                  <a:lumOff val="80000"/>
                </a:schemeClr>
              </a:solidFill>
              <a:latin typeface="Aptos"/>
            </a:rPr>
            <a:pPr algn="ctr"/>
            <a:t>3.9</a:t>
          </a:fld>
          <a:endParaRPr lang="en-IN" sz="1100">
            <a:ln>
              <a:noFill/>
            </a:ln>
            <a:solidFill>
              <a:schemeClr val="accent6">
                <a:lumMod val="20000"/>
                <a:lumOff val="80000"/>
              </a:schemeClr>
            </a:solidFill>
          </a:endParaRPr>
        </a:p>
      </xdr:txBody>
    </xdr:sp>
    <xdr:clientData/>
  </xdr:twoCellAnchor>
  <xdr:twoCellAnchor>
    <xdr:from>
      <xdr:col>2</xdr:col>
      <xdr:colOff>0</xdr:colOff>
      <xdr:row>32</xdr:row>
      <xdr:rowOff>135927</xdr:rowOff>
    </xdr:from>
    <xdr:to>
      <xdr:col>4</xdr:col>
      <xdr:colOff>0</xdr:colOff>
      <xdr:row>37</xdr:row>
      <xdr:rowOff>135928</xdr:rowOff>
    </xdr:to>
    <xdr:sp macro="" textlink="pivots!E4">
      <xdr:nvSpPr>
        <xdr:cNvPr id="36" name="Rectangle 35">
          <a:extLst>
            <a:ext uri="{FF2B5EF4-FFF2-40B4-BE49-F238E27FC236}">
              <a16:creationId xmlns:a16="http://schemas.microsoft.com/office/drawing/2014/main" id="{DCF7FEE5-2D34-4C25-B5F3-DF05B1D49EC1}"/>
            </a:ext>
          </a:extLst>
        </xdr:cNvPr>
        <xdr:cNvSpPr/>
      </xdr:nvSpPr>
      <xdr:spPr>
        <a:xfrm>
          <a:off x="331304" y="6143579"/>
          <a:ext cx="1347305" cy="938697"/>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C5866D-CC24-4026-827E-A5580B9D6DA2}" type="TxLink">
            <a:rPr lang="en-US" sz="2400" b="0" i="0" u="none" strike="noStrike">
              <a:ln>
                <a:noFill/>
              </a:ln>
              <a:solidFill>
                <a:schemeClr val="bg1"/>
              </a:solidFill>
              <a:latin typeface="+mj-lt"/>
            </a:rPr>
            <a:pPr algn="ctr"/>
            <a:t>307</a:t>
          </a:fld>
          <a:endParaRPr lang="en-IN" sz="2400">
            <a:ln>
              <a:noFill/>
            </a:ln>
            <a:solidFill>
              <a:schemeClr val="bg1"/>
            </a:solidFill>
            <a:latin typeface="+mj-lt"/>
          </a:endParaRPr>
        </a:p>
      </xdr:txBody>
    </xdr:sp>
    <xdr:clientData/>
  </xdr:twoCellAnchor>
  <xdr:twoCellAnchor>
    <xdr:from>
      <xdr:col>2</xdr:col>
      <xdr:colOff>197223</xdr:colOff>
      <xdr:row>33</xdr:row>
      <xdr:rowOff>18560</xdr:rowOff>
    </xdr:from>
    <xdr:to>
      <xdr:col>3</xdr:col>
      <xdr:colOff>663389</xdr:colOff>
      <xdr:row>34</xdr:row>
      <xdr:rowOff>46802</xdr:rowOff>
    </xdr:to>
    <xdr:sp macro="" textlink="">
      <xdr:nvSpPr>
        <xdr:cNvPr id="37" name="TextBox 36">
          <a:extLst>
            <a:ext uri="{FF2B5EF4-FFF2-40B4-BE49-F238E27FC236}">
              <a16:creationId xmlns:a16="http://schemas.microsoft.com/office/drawing/2014/main" id="{B5E9AA1C-4990-4517-B5BD-F2FF237D2141}"/>
            </a:ext>
          </a:extLst>
        </xdr:cNvPr>
        <xdr:cNvSpPr txBox="1"/>
      </xdr:nvSpPr>
      <xdr:spPr>
        <a:xfrm>
          <a:off x="528527" y="6213951"/>
          <a:ext cx="1139819" cy="215981"/>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n>
                <a:noFill/>
              </a:ln>
              <a:solidFill>
                <a:schemeClr val="bg1">
                  <a:lumMod val="95000"/>
                </a:schemeClr>
              </a:solidFill>
              <a:latin typeface="+mj-lt"/>
            </a:rPr>
            <a:t>Happy Callers</a:t>
          </a:r>
        </a:p>
      </xdr:txBody>
    </xdr:sp>
    <xdr:clientData/>
  </xdr:twoCellAnchor>
  <xdr:twoCellAnchor>
    <xdr:from>
      <xdr:col>2</xdr:col>
      <xdr:colOff>152401</xdr:colOff>
      <xdr:row>36</xdr:row>
      <xdr:rowOff>81314</xdr:rowOff>
    </xdr:from>
    <xdr:to>
      <xdr:col>3</xdr:col>
      <xdr:colOff>528918</xdr:colOff>
      <xdr:row>37</xdr:row>
      <xdr:rowOff>81314</xdr:rowOff>
    </xdr:to>
    <xdr:sp macro="" textlink="pivots!E10">
      <xdr:nvSpPr>
        <xdr:cNvPr id="39" name="TextBox 38">
          <a:extLst>
            <a:ext uri="{FF2B5EF4-FFF2-40B4-BE49-F238E27FC236}">
              <a16:creationId xmlns:a16="http://schemas.microsoft.com/office/drawing/2014/main" id="{6C92FE6D-3ECE-47BD-9797-0AA3FF4C1236}"/>
            </a:ext>
          </a:extLst>
        </xdr:cNvPr>
        <xdr:cNvSpPr txBox="1"/>
      </xdr:nvSpPr>
      <xdr:spPr>
        <a:xfrm>
          <a:off x="483705" y="6839923"/>
          <a:ext cx="1050170" cy="187739"/>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30972A-559B-4519-881C-51BB8ABF3D18}" type="TxLink">
            <a:rPr lang="en-US" sz="1100" b="0" i="0" u="none" strike="noStrike">
              <a:ln>
                <a:noFill/>
              </a:ln>
              <a:solidFill>
                <a:schemeClr val="accent6">
                  <a:lumMod val="20000"/>
                  <a:lumOff val="80000"/>
                </a:schemeClr>
              </a:solidFill>
              <a:latin typeface="Aptos"/>
            </a:rPr>
            <a:pPr algn="ctr"/>
            <a:t>74</a:t>
          </a:fld>
          <a:endParaRPr lang="en-US" sz="1100" b="0" i="0" u="none" strike="noStrike">
            <a:ln>
              <a:noFill/>
            </a:ln>
            <a:solidFill>
              <a:schemeClr val="accent6">
                <a:lumMod val="20000"/>
                <a:lumOff val="80000"/>
              </a:schemeClr>
            </a:solidFill>
            <a:latin typeface="Aptos"/>
          </a:endParaRPr>
        </a:p>
      </xdr:txBody>
    </xdr:sp>
    <xdr:clientData/>
  </xdr:twoCellAnchor>
  <xdr:twoCellAnchor editAs="oneCell">
    <xdr:from>
      <xdr:col>2</xdr:col>
      <xdr:colOff>73064</xdr:colOff>
      <xdr:row>17</xdr:row>
      <xdr:rowOff>62079</xdr:rowOff>
    </xdr:from>
    <xdr:to>
      <xdr:col>2</xdr:col>
      <xdr:colOff>281229</xdr:colOff>
      <xdr:row>18</xdr:row>
      <xdr:rowOff>90950</xdr:rowOff>
    </xdr:to>
    <xdr:pic>
      <xdr:nvPicPr>
        <xdr:cNvPr id="40" name="Graphic 39" descr="Hourglass Finished with solid fill">
          <a:extLst>
            <a:ext uri="{FF2B5EF4-FFF2-40B4-BE49-F238E27FC236}">
              <a16:creationId xmlns:a16="http://schemas.microsoft.com/office/drawing/2014/main" id="{0B470D8E-81DF-4A0D-8F50-DBC5EBC3337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410521" y="3208050"/>
          <a:ext cx="208165" cy="213929"/>
        </a:xfrm>
        <a:prstGeom prst="rect">
          <a:avLst/>
        </a:prstGeom>
      </xdr:spPr>
    </xdr:pic>
    <xdr:clientData/>
  </xdr:twoCellAnchor>
  <xdr:twoCellAnchor editAs="oneCell">
    <xdr:from>
      <xdr:col>2</xdr:col>
      <xdr:colOff>35859</xdr:colOff>
      <xdr:row>25</xdr:row>
      <xdr:rowOff>37934</xdr:rowOff>
    </xdr:from>
    <xdr:to>
      <xdr:col>2</xdr:col>
      <xdr:colOff>329830</xdr:colOff>
      <xdr:row>26</xdr:row>
      <xdr:rowOff>145511</xdr:rowOff>
    </xdr:to>
    <xdr:pic>
      <xdr:nvPicPr>
        <xdr:cNvPr id="43" name="Graphic 42" descr="Rating Star with solid fill">
          <a:extLst>
            <a:ext uri="{FF2B5EF4-FFF2-40B4-BE49-F238E27FC236}">
              <a16:creationId xmlns:a16="http://schemas.microsoft.com/office/drawing/2014/main" id="{F7250C21-96DF-45E3-BF5D-C0FA9DE677B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367163" y="4731412"/>
          <a:ext cx="293971" cy="295316"/>
        </a:xfrm>
        <a:prstGeom prst="rect">
          <a:avLst/>
        </a:prstGeom>
      </xdr:spPr>
    </xdr:pic>
    <xdr:clientData/>
  </xdr:twoCellAnchor>
  <xdr:twoCellAnchor editAs="oneCell">
    <xdr:from>
      <xdr:col>2</xdr:col>
      <xdr:colOff>26895</xdr:colOff>
      <xdr:row>33</xdr:row>
      <xdr:rowOff>9606</xdr:rowOff>
    </xdr:from>
    <xdr:to>
      <xdr:col>2</xdr:col>
      <xdr:colOff>251013</xdr:colOff>
      <xdr:row>34</xdr:row>
      <xdr:rowOff>48992</xdr:rowOff>
    </xdr:to>
    <xdr:pic>
      <xdr:nvPicPr>
        <xdr:cNvPr id="44" name="Graphic 43" descr="Star-struck face outline with solid fill">
          <a:extLst>
            <a:ext uri="{FF2B5EF4-FFF2-40B4-BE49-F238E27FC236}">
              <a16:creationId xmlns:a16="http://schemas.microsoft.com/office/drawing/2014/main" id="{41F19DFD-70D3-4492-B145-AE3D901D47F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8199" y="6204997"/>
          <a:ext cx="224118" cy="227126"/>
        </a:xfrm>
        <a:prstGeom prst="rect">
          <a:avLst/>
        </a:prstGeom>
      </xdr:spPr>
    </xdr:pic>
    <xdr:clientData/>
  </xdr:twoCellAnchor>
  <xdr:twoCellAnchor editAs="oneCell">
    <xdr:from>
      <xdr:col>2</xdr:col>
      <xdr:colOff>53790</xdr:colOff>
      <xdr:row>9</xdr:row>
      <xdr:rowOff>111094</xdr:rowOff>
    </xdr:from>
    <xdr:to>
      <xdr:col>2</xdr:col>
      <xdr:colOff>251013</xdr:colOff>
      <xdr:row>10</xdr:row>
      <xdr:rowOff>121847</xdr:rowOff>
    </xdr:to>
    <xdr:pic>
      <xdr:nvPicPr>
        <xdr:cNvPr id="45" name="Graphic 44" descr="Shopping cart with solid fill">
          <a:extLst>
            <a:ext uri="{FF2B5EF4-FFF2-40B4-BE49-F238E27FC236}">
              <a16:creationId xmlns:a16="http://schemas.microsoft.com/office/drawing/2014/main" id="{B936BC7E-9D12-4FF2-A74E-76B758B3F53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5094" y="1800746"/>
          <a:ext cx="197223" cy="198491"/>
        </a:xfrm>
        <a:prstGeom prst="rect">
          <a:avLst/>
        </a:prstGeom>
      </xdr:spPr>
    </xdr:pic>
    <xdr:clientData/>
  </xdr:twoCellAnchor>
  <xdr:twoCellAnchor>
    <xdr:from>
      <xdr:col>5</xdr:col>
      <xdr:colOff>0</xdr:colOff>
      <xdr:row>2</xdr:row>
      <xdr:rowOff>0</xdr:rowOff>
    </xdr:from>
    <xdr:to>
      <xdr:col>11</xdr:col>
      <xdr:colOff>271630</xdr:colOff>
      <xdr:row>17</xdr:row>
      <xdr:rowOff>53788</xdr:rowOff>
    </xdr:to>
    <xdr:graphicFrame macro="">
      <xdr:nvGraphicFramePr>
        <xdr:cNvPr id="4" name="Chart 3">
          <a:extLst>
            <a:ext uri="{FF2B5EF4-FFF2-40B4-BE49-F238E27FC236}">
              <a16:creationId xmlns:a16="http://schemas.microsoft.com/office/drawing/2014/main" id="{3B042EF2-606F-48A5-95BA-98D545209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19</xdr:row>
      <xdr:rowOff>71720</xdr:rowOff>
    </xdr:from>
    <xdr:to>
      <xdr:col>8</xdr:col>
      <xdr:colOff>340659</xdr:colOff>
      <xdr:row>35</xdr:row>
      <xdr:rowOff>10984</xdr:rowOff>
    </xdr:to>
    <xdr:graphicFrame macro="">
      <xdr:nvGraphicFramePr>
        <xdr:cNvPr id="7" name="Chart 6">
          <a:extLst>
            <a:ext uri="{FF2B5EF4-FFF2-40B4-BE49-F238E27FC236}">
              <a16:creationId xmlns:a16="http://schemas.microsoft.com/office/drawing/2014/main" id="{BB8D5408-70E0-42EA-BD4C-CFD89BF3B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259976</xdr:colOff>
      <xdr:row>19</xdr:row>
      <xdr:rowOff>83150</xdr:rowOff>
    </xdr:from>
    <xdr:to>
      <xdr:col>12</xdr:col>
      <xdr:colOff>9273</xdr:colOff>
      <xdr:row>35</xdr:row>
      <xdr:rowOff>10984</xdr:rowOff>
    </xdr:to>
    <xdr:graphicFrame macro="">
      <xdr:nvGraphicFramePr>
        <xdr:cNvPr id="8" name="Chart 7">
          <a:extLst>
            <a:ext uri="{FF2B5EF4-FFF2-40B4-BE49-F238E27FC236}">
              <a16:creationId xmlns:a16="http://schemas.microsoft.com/office/drawing/2014/main" id="{36A36108-1CF9-4DA9-9C40-F1810D96C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50734</xdr:colOff>
      <xdr:row>2</xdr:row>
      <xdr:rowOff>0</xdr:rowOff>
    </xdr:from>
    <xdr:to>
      <xdr:col>18</xdr:col>
      <xdr:colOff>620867</xdr:colOff>
      <xdr:row>17</xdr:row>
      <xdr:rowOff>0</xdr:rowOff>
    </xdr:to>
    <xdr:graphicFrame macro="">
      <xdr:nvGraphicFramePr>
        <xdr:cNvPr id="10" name="Chart 9">
          <a:extLst>
            <a:ext uri="{FF2B5EF4-FFF2-40B4-BE49-F238E27FC236}">
              <a16:creationId xmlns:a16="http://schemas.microsoft.com/office/drawing/2014/main" id="{4D924359-0612-44AF-9EEF-47D92AAD2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8243</xdr:colOff>
      <xdr:row>2</xdr:row>
      <xdr:rowOff>1</xdr:rowOff>
    </xdr:from>
    <xdr:to>
      <xdr:col>22</xdr:col>
      <xdr:colOff>525167</xdr:colOff>
      <xdr:row>17</xdr:row>
      <xdr:rowOff>30275</xdr:rowOff>
    </xdr:to>
    <xdr:graphicFrame macro="">
      <xdr:nvGraphicFramePr>
        <xdr:cNvPr id="11" name="Chart 10">
          <a:extLst>
            <a:ext uri="{FF2B5EF4-FFF2-40B4-BE49-F238E27FC236}">
              <a16:creationId xmlns:a16="http://schemas.microsoft.com/office/drawing/2014/main" id="{CAC8F85A-1437-4D95-A186-C8115FC60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31.88187164352" backgroundQuery="1" createdVersion="8" refreshedVersion="8" minRefreshableVersion="3" recordCount="0" supportSubquery="1" supportAdvancedDrill="1" xr:uid="{974F74CA-7E30-4A1B-BBAF-0A2EDDCB5C98}">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32.799940856479" backgroundQuery="1" createdVersion="8" refreshedVersion="8" minRefreshableVersion="3" recordCount="0" supportSubquery="1" supportAdvancedDrill="1" xr:uid="{48364181-1C95-4FEE-97B6-E790103EFA3F}">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33.625388194443" backgroundQuery="1" createdVersion="8" refreshedVersion="8" minRefreshableVersion="3" recordCount="0" supportSubquery="1" supportAdvancedDrill="1" xr:uid="{CE9F8E9F-1718-46F5-99A8-B000ABBAAC55}">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25"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33.743601620372" backgroundQuery="1" createdVersion="8" refreshedVersion="8" minRefreshableVersion="3" recordCount="0" supportSubquery="1" supportAdvancedDrill="1" xr:uid="{01E5C41F-7E3E-4B50-849A-D341A42FED92}">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40.904166319444" backgroundQuery="1" createdVersion="8" refreshedVersion="8" minRefreshableVersion="3" recordCount="0" supportSubquery="1" supportAdvancedDrill="1" xr:uid="{FAFF3402-C135-49A6-9450-3A2FD476E703}">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40.904169212961" backgroundQuery="1" createdVersion="8" refreshedVersion="8" minRefreshableVersion="3" recordCount="0" supportSubquery="1" supportAdvancedDrill="1" xr:uid="{4D4D5487-8CCE-400E-A70D-C5946CC74285}">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40.904172106479" backgroundQuery="1" createdVersion="8" refreshedVersion="8" minRefreshableVersion="3" recordCount="0" supportSubquery="1" supportAdvancedDrill="1" xr:uid="{D85AB65C-BF49-4A5D-BCC6-D867C25DE737}">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40.904175231481" backgroundQuery="1" createdVersion="8" refreshedVersion="8" minRefreshableVersion="3" recordCount="0" supportSubquery="1" supportAdvancedDrill="1" xr:uid="{F53D0C22-DEA8-47DA-85EB-33DACC4162B0}">
  <cacheSource type="external" connectionId="1"/>
  <cacheFields count="1">
    <cacheField name="[calls].[Representative].[Representative]" caption="Representative" numFmtId="0" hierarchy="3" level="1">
      <sharedItems count="1">
        <s v="R02"/>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40.904176388889" backgroundQuery="1" createdVersion="8" refreshedVersion="8" minRefreshableVersion="3" recordCount="0" supportSubquery="1" supportAdvancedDrill="1" xr:uid="{2F32183C-6142-4FDC-B2B2-B3C3D7331DFB}">
  <cacheSource type="external" connectionId="1"/>
  <cacheFields count="3">
    <cacheField name="[Measures].[Count of Call number]" caption="Count of Call number" numFmtId="0" hierarchy="25"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p" refreshedDate="46031.941130092593" backgroundQuery="1" createdVersion="3" refreshedVersion="8" minRefreshableVersion="3" recordCount="0" supportSubquery="1" supportAdvancedDrill="1" xr:uid="{8AED804D-BEDC-4930-8733-D566A33E3558}">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3032217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399111-B1B5-4F8B-BCB2-0B5F5A2DCA86}" name="Gender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D6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AB9DE-070B-4863-93E1-F501A0A1FA98}"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4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B26A49-E686-48C1-99AE-7EE120ACDE6E}" name="Monthly Tren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C3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93AC90-8872-49F8-8658-9E8B2167AE79}" name="rep pivo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6706EF-9028-4054-AB86-63B5E719E812}"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7A8E66-3442-4835-ABCF-6188C204C168}" name="Weekly Trend"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20:G28"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4"/>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D7867F-0234-4630-860F-0639FCA32208}" name="Selected Rep"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1:A5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5">
      <pivotArea dataOnly="0"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45403D-B860-4F99-8950-E823A0CD028C}"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76:G9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791524-7F28-4D1D-8945-0561E8BE5472}" name="Rep satisfact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66:B72"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all number" fld="0"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1</v>
    <v>4</v>
    <v>A person in a suit and tie
Description automatically generated</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7D35589-648A-471E-84ED-5E2C9D36B64E}" sourceName="[calls].[Representative]">
  <pivotTables>
    <pivotTable tabId="6" name="rep pivot"/>
    <pivotTable tabId="6" name="Monthly Trend"/>
    <pivotTable tabId="6" name="Weekly Trend"/>
    <pivotTable tabId="6" name="Selected Rep"/>
    <pivotTable tabId="6" name="Rep satisfaction"/>
  </pivotTables>
  <data>
    <olap pivotCacheId="130322171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7CAB2B9-E480-4D7E-8ECC-B217AD02779B}"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925" zoomScale="146" zoomScaleNormal="115" workbookViewId="0">
      <selection activeCell="B4" sqref="B4:B1003"/>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c r="P23" t="s">
        <v>1042</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c r="P25" t="s">
        <v>1043</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c r="P27" t="s">
        <v>1044</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c r="P29" t="s">
        <v>1045</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19"/>
  <sheetViews>
    <sheetView zoomScale="109" zoomScaleNormal="115" workbookViewId="0">
      <selection activeCell="E19" sqref="E19"/>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row r="19" ht="57.6" customHeight="1"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00E5-2ED5-4415-BE07-EC08204446C1}">
  <dimension ref="A3:J95"/>
  <sheetViews>
    <sheetView tabSelected="1" workbookViewId="0">
      <selection activeCell="I39" sqref="I39"/>
    </sheetView>
  </sheetViews>
  <sheetFormatPr defaultRowHeight="14.4" x14ac:dyDescent="0.3"/>
  <cols>
    <col min="1" max="1" width="11.19921875" customWidth="1"/>
    <col min="2" max="2" width="18.5" bestFit="1" customWidth="1"/>
    <col min="3" max="3" width="12.09765625" customWidth="1"/>
    <col min="4" max="4" width="8.796875" bestFit="1" customWidth="1"/>
    <col min="5" max="5" width="7.296875" bestFit="1" customWidth="1"/>
    <col min="6" max="6" width="12.19921875" bestFit="1" customWidth="1"/>
    <col min="7" max="7" width="8.8984375" bestFit="1" customWidth="1"/>
    <col min="8" max="8" width="10.5" customWidth="1"/>
    <col min="9" max="9" width="8.8984375" bestFit="1" customWidth="1"/>
    <col min="10" max="10" width="11.19921875" bestFit="1" customWidth="1"/>
  </cols>
  <sheetData>
    <row r="3" spans="1:5" x14ac:dyDescent="0.3">
      <c r="A3" t="s">
        <v>1046</v>
      </c>
      <c r="B3" t="s">
        <v>1047</v>
      </c>
      <c r="C3" t="s">
        <v>1048</v>
      </c>
      <c r="D3" t="s">
        <v>1049</v>
      </c>
      <c r="E3" t="s">
        <v>1050</v>
      </c>
    </row>
    <row r="4" spans="1:5" x14ac:dyDescent="0.3">
      <c r="A4" s="21">
        <v>1000</v>
      </c>
      <c r="B4" s="22">
        <v>96623</v>
      </c>
      <c r="C4" s="21">
        <v>89850</v>
      </c>
      <c r="D4" s="23">
        <v>3.8854000000000033</v>
      </c>
      <c r="E4" s="21">
        <v>307</v>
      </c>
    </row>
    <row r="8" spans="1:5" x14ac:dyDescent="0.3">
      <c r="B8" s="14"/>
      <c r="C8" s="14"/>
      <c r="D8" s="14"/>
      <c r="E8" s="14"/>
    </row>
    <row r="9" spans="1:5" x14ac:dyDescent="0.3">
      <c r="A9" t="s">
        <v>1046</v>
      </c>
      <c r="B9" t="s">
        <v>1047</v>
      </c>
      <c r="C9" t="s">
        <v>1048</v>
      </c>
      <c r="D9" t="s">
        <v>1049</v>
      </c>
      <c r="E9" t="s">
        <v>1050</v>
      </c>
    </row>
    <row r="10" spans="1:5" x14ac:dyDescent="0.3">
      <c r="A10" s="21">
        <v>218</v>
      </c>
      <c r="B10" s="22">
        <v>20581</v>
      </c>
      <c r="C10" s="21">
        <v>19300</v>
      </c>
      <c r="D10" s="23">
        <v>3.8706422018348627</v>
      </c>
      <c r="E10" s="21">
        <v>74</v>
      </c>
    </row>
    <row r="20" spans="1:10" x14ac:dyDescent="0.3">
      <c r="A20" s="24" t="s">
        <v>1051</v>
      </c>
      <c r="B20" t="s">
        <v>1046</v>
      </c>
      <c r="C20" t="s">
        <v>1065</v>
      </c>
      <c r="F20" s="24" t="s">
        <v>1051</v>
      </c>
      <c r="G20" t="s">
        <v>1046</v>
      </c>
    </row>
    <row r="21" spans="1:10" x14ac:dyDescent="0.3">
      <c r="A21" s="25" t="s">
        <v>1053</v>
      </c>
      <c r="B21" s="21">
        <v>19</v>
      </c>
      <c r="C21" s="21">
        <v>19</v>
      </c>
      <c r="F21" s="25" t="s">
        <v>1069</v>
      </c>
      <c r="G21" s="21">
        <v>28</v>
      </c>
    </row>
    <row r="22" spans="1:10" x14ac:dyDescent="0.3">
      <c r="A22" s="25" t="s">
        <v>1054</v>
      </c>
      <c r="B22" s="21">
        <v>10</v>
      </c>
      <c r="C22" s="21">
        <v>10</v>
      </c>
      <c r="F22" s="25" t="s">
        <v>1067</v>
      </c>
      <c r="G22" s="21">
        <v>24</v>
      </c>
    </row>
    <row r="23" spans="1:10" x14ac:dyDescent="0.3">
      <c r="A23" s="25" t="s">
        <v>1055</v>
      </c>
      <c r="B23" s="21">
        <v>40</v>
      </c>
      <c r="C23" s="21">
        <v>40</v>
      </c>
      <c r="F23" s="25" t="s">
        <v>1071</v>
      </c>
      <c r="G23" s="21">
        <v>44</v>
      </c>
    </row>
    <row r="24" spans="1:10" x14ac:dyDescent="0.3">
      <c r="A24" s="25" t="s">
        <v>1056</v>
      </c>
      <c r="B24" s="21">
        <v>40</v>
      </c>
      <c r="C24" s="21">
        <v>40</v>
      </c>
      <c r="F24" s="25" t="s">
        <v>1072</v>
      </c>
      <c r="G24" s="21">
        <v>36</v>
      </c>
    </row>
    <row r="25" spans="1:10" x14ac:dyDescent="0.3">
      <c r="A25" s="25" t="s">
        <v>1057</v>
      </c>
      <c r="B25" s="21">
        <v>13</v>
      </c>
      <c r="C25" s="21">
        <v>13</v>
      </c>
      <c r="F25" s="25" t="s">
        <v>1070</v>
      </c>
      <c r="G25" s="21">
        <v>33</v>
      </c>
    </row>
    <row r="26" spans="1:10" x14ac:dyDescent="0.3">
      <c r="A26" s="25" t="s">
        <v>1058</v>
      </c>
      <c r="B26" s="21">
        <v>12</v>
      </c>
      <c r="C26" s="21">
        <v>12</v>
      </c>
      <c r="F26" s="25" t="s">
        <v>1066</v>
      </c>
      <c r="G26" s="21">
        <v>29</v>
      </c>
    </row>
    <row r="27" spans="1:10" x14ac:dyDescent="0.3">
      <c r="A27" s="25" t="s">
        <v>1059</v>
      </c>
      <c r="B27" s="21">
        <v>9</v>
      </c>
      <c r="C27" s="21">
        <v>9</v>
      </c>
      <c r="F27" s="25" t="s">
        <v>1068</v>
      </c>
      <c r="G27" s="21">
        <v>24</v>
      </c>
    </row>
    <row r="28" spans="1:10" x14ac:dyDescent="0.3">
      <c r="A28" s="25" t="s">
        <v>1060</v>
      </c>
      <c r="B28" s="21">
        <v>13</v>
      </c>
      <c r="C28" s="21">
        <v>13</v>
      </c>
      <c r="F28" s="25" t="s">
        <v>1052</v>
      </c>
      <c r="G28" s="21">
        <v>218</v>
      </c>
    </row>
    <row r="29" spans="1:10" x14ac:dyDescent="0.3">
      <c r="A29" s="25" t="s">
        <v>1061</v>
      </c>
      <c r="B29" s="21">
        <v>18</v>
      </c>
      <c r="C29" s="21">
        <v>18</v>
      </c>
    </row>
    <row r="30" spans="1:10" x14ac:dyDescent="0.3">
      <c r="A30" s="25" t="s">
        <v>1062</v>
      </c>
      <c r="B30" s="21">
        <v>21</v>
      </c>
      <c r="C30" s="21">
        <v>21</v>
      </c>
      <c r="J30" t="s">
        <v>1104</v>
      </c>
    </row>
    <row r="31" spans="1:10" x14ac:dyDescent="0.3">
      <c r="A31" s="25" t="s">
        <v>1063</v>
      </c>
      <c r="B31" s="21">
        <v>14</v>
      </c>
      <c r="C31" s="21">
        <v>14</v>
      </c>
    </row>
    <row r="32" spans="1:10" x14ac:dyDescent="0.3">
      <c r="A32" s="25" t="s">
        <v>1064</v>
      </c>
      <c r="B32" s="21">
        <v>9</v>
      </c>
      <c r="C32" s="21">
        <v>9</v>
      </c>
    </row>
    <row r="33" spans="1:9" x14ac:dyDescent="0.3">
      <c r="A33" s="25" t="s">
        <v>1052</v>
      </c>
      <c r="B33" s="21">
        <v>218</v>
      </c>
      <c r="C33" s="21">
        <v>218</v>
      </c>
    </row>
    <row r="39" spans="1:9" x14ac:dyDescent="0.3">
      <c r="E39" t="s">
        <v>1078</v>
      </c>
      <c r="H39" t="s">
        <v>1105</v>
      </c>
      <c r="I39" t="str">
        <f>A52</f>
        <v>R02</v>
      </c>
    </row>
    <row r="41" spans="1:9" x14ac:dyDescent="0.3">
      <c r="A41" s="24" t="s">
        <v>1051</v>
      </c>
      <c r="B41" t="s">
        <v>1046</v>
      </c>
      <c r="C41" t="s">
        <v>1047</v>
      </c>
      <c r="E41" t="s">
        <v>1073</v>
      </c>
      <c r="F41" t="s">
        <v>1074</v>
      </c>
      <c r="G41" t="s">
        <v>1075</v>
      </c>
      <c r="H41" t="s">
        <v>1076</v>
      </c>
      <c r="I41" t="s">
        <v>1077</v>
      </c>
    </row>
    <row r="42" spans="1:9" x14ac:dyDescent="0.3">
      <c r="A42" s="25" t="s">
        <v>11</v>
      </c>
      <c r="B42" s="21">
        <v>189</v>
      </c>
      <c r="C42" s="22">
        <v>18415</v>
      </c>
      <c r="E42" t="str" cm="1">
        <f t="array" ref="E42:G46">A42:C46</f>
        <v>R01</v>
      </c>
      <c r="F42">
        <v>189</v>
      </c>
      <c r="G42" s="26">
        <v>18415</v>
      </c>
      <c r="H42" t="e">
        <f>IF(E42=$I$39,F42,NA())</f>
        <v>#N/A</v>
      </c>
      <c r="I42" t="e">
        <f>IF(E42=$I$39,G42,NA())</f>
        <v>#N/A</v>
      </c>
    </row>
    <row r="43" spans="1:9" x14ac:dyDescent="0.3">
      <c r="A43" s="25" t="s">
        <v>9</v>
      </c>
      <c r="B43" s="21">
        <v>218</v>
      </c>
      <c r="C43" s="22">
        <v>20581</v>
      </c>
      <c r="E43" t="str">
        <v>R02</v>
      </c>
      <c r="F43">
        <v>218</v>
      </c>
      <c r="G43" s="26">
        <v>20581</v>
      </c>
      <c r="H43">
        <f>IF(E43=$I$39,F43,NA())</f>
        <v>218</v>
      </c>
      <c r="I43">
        <f>IF(E43=$I$39,G43,NA())</f>
        <v>20581</v>
      </c>
    </row>
    <row r="44" spans="1:9" x14ac:dyDescent="0.3">
      <c r="A44" s="25" t="s">
        <v>6</v>
      </c>
      <c r="B44" s="21">
        <v>207</v>
      </c>
      <c r="C44" s="22">
        <v>20872</v>
      </c>
      <c r="E44" t="str">
        <v>R03</v>
      </c>
      <c r="F44">
        <v>207</v>
      </c>
      <c r="G44" s="26">
        <v>20872</v>
      </c>
      <c r="H44" t="e">
        <f>IF(E44=$I$39,F44,NA())</f>
        <v>#N/A</v>
      </c>
      <c r="I44" t="e">
        <f>IF(E44=$I$39,G44,NA())</f>
        <v>#N/A</v>
      </c>
    </row>
    <row r="45" spans="1:9" x14ac:dyDescent="0.3">
      <c r="A45" s="25" t="s">
        <v>13</v>
      </c>
      <c r="B45" s="21">
        <v>186</v>
      </c>
      <c r="C45" s="22">
        <v>16651</v>
      </c>
      <c r="E45" t="str">
        <v>R04</v>
      </c>
      <c r="F45">
        <v>186</v>
      </c>
      <c r="G45" s="26">
        <v>16651</v>
      </c>
      <c r="H45" t="e">
        <f>IF(E45=$I$39,F45,NA())</f>
        <v>#N/A</v>
      </c>
      <c r="I45" t="e">
        <f>IF(E45=$I$39,G45,NA())</f>
        <v>#N/A</v>
      </c>
    </row>
    <row r="46" spans="1:9" x14ac:dyDescent="0.3">
      <c r="A46" s="25" t="s">
        <v>10</v>
      </c>
      <c r="B46" s="21">
        <v>200</v>
      </c>
      <c r="C46" s="22">
        <v>20104</v>
      </c>
      <c r="E46" t="str">
        <v>R05</v>
      </c>
      <c r="F46">
        <v>200</v>
      </c>
      <c r="G46" s="26">
        <v>20104</v>
      </c>
      <c r="H46" t="e">
        <f>IF(E46=$I$39,F46,NA())</f>
        <v>#N/A</v>
      </c>
      <c r="I46" t="e">
        <f>IF(E46=$I$39,G46,NA())</f>
        <v>#N/A</v>
      </c>
    </row>
    <row r="47" spans="1:9" x14ac:dyDescent="0.3">
      <c r="A47" s="25" t="s">
        <v>1052</v>
      </c>
      <c r="B47" s="21">
        <v>1000</v>
      </c>
      <c r="C47" s="22">
        <v>96623</v>
      </c>
    </row>
    <row r="49" spans="1:7" x14ac:dyDescent="0.3">
      <c r="F49" s="14" t="s">
        <v>1082</v>
      </c>
    </row>
    <row r="51" spans="1:7" x14ac:dyDescent="0.3">
      <c r="A51" s="24" t="s">
        <v>1051</v>
      </c>
      <c r="F51" t="s">
        <v>1083</v>
      </c>
      <c r="G51" s="41">
        <f>A10/A4</f>
        <v>0.218</v>
      </c>
    </row>
    <row r="52" spans="1:7" x14ac:dyDescent="0.3">
      <c r="A52" s="27" t="s">
        <v>9</v>
      </c>
      <c r="F52" t="s">
        <v>1074</v>
      </c>
      <c r="G52">
        <f>_xlfn.XLOOKUP(A52,E42:E46,F42:F46)</f>
        <v>218</v>
      </c>
    </row>
    <row r="53" spans="1:7" x14ac:dyDescent="0.3">
      <c r="F53" t="s">
        <v>1075</v>
      </c>
      <c r="G53">
        <f>_xlfn.XLOOKUP(A52,E42:E46,G42:G46)</f>
        <v>20581</v>
      </c>
    </row>
    <row r="55" spans="1:7" x14ac:dyDescent="0.3">
      <c r="F55" t="s">
        <v>1084</v>
      </c>
      <c r="G55">
        <f>_xlfn.RANK.AVG(G52,F42:F46)</f>
        <v>1</v>
      </c>
    </row>
    <row r="56" spans="1:7" x14ac:dyDescent="0.3">
      <c r="F56" t="s">
        <v>1085</v>
      </c>
      <c r="G56">
        <f>_xlfn.RANK.AVG(G53,G42:G46)</f>
        <v>2</v>
      </c>
    </row>
    <row r="58" spans="1:7" x14ac:dyDescent="0.3">
      <c r="A58" s="24" t="s">
        <v>1080</v>
      </c>
      <c r="B58" s="24" t="s">
        <v>1079</v>
      </c>
      <c r="F58" t="s">
        <v>1086</v>
      </c>
    </row>
    <row r="59" spans="1:7" x14ac:dyDescent="0.3">
      <c r="A59" s="24" t="s">
        <v>1051</v>
      </c>
      <c r="B59" t="s">
        <v>999</v>
      </c>
      <c r="C59" t="s">
        <v>998</v>
      </c>
      <c r="D59" t="s">
        <v>1052</v>
      </c>
      <c r="G59" t="str">
        <f>"% of calls:"&amp;TEXT(G51,"0%")</f>
        <v>% of calls:22%</v>
      </c>
    </row>
    <row r="60" spans="1:7" x14ac:dyDescent="0.3">
      <c r="A60" s="25" t="s">
        <v>1002</v>
      </c>
      <c r="B60">
        <v>144</v>
      </c>
      <c r="C60">
        <v>132</v>
      </c>
      <c r="D60">
        <v>276</v>
      </c>
      <c r="G60" t="str">
        <f>IF(COUNTA(A52:A56)&gt;1,"","Call rank:"&amp;G55)</f>
        <v>Call rank:1</v>
      </c>
    </row>
    <row r="61" spans="1:7" x14ac:dyDescent="0.3">
      <c r="A61" s="25" t="s">
        <v>1001</v>
      </c>
      <c r="B61">
        <v>326</v>
      </c>
      <c r="C61">
        <v>63</v>
      </c>
      <c r="D61">
        <v>389</v>
      </c>
      <c r="G61" t="str">
        <f>IF(COUNTA(A52:A56)&gt;1,"","Amount Rank:"&amp;G56)</f>
        <v>Amount Rank:2</v>
      </c>
    </row>
    <row r="62" spans="1:7" x14ac:dyDescent="0.3">
      <c r="A62" s="25" t="s">
        <v>1000</v>
      </c>
      <c r="B62">
        <v>129</v>
      </c>
      <c r="C62">
        <v>206</v>
      </c>
      <c r="D62">
        <v>335</v>
      </c>
    </row>
    <row r="63" spans="1:7" x14ac:dyDescent="0.3">
      <c r="A63" s="25" t="s">
        <v>1052</v>
      </c>
      <c r="B63">
        <v>599</v>
      </c>
      <c r="C63">
        <v>401</v>
      </c>
      <c r="D63">
        <v>1000</v>
      </c>
      <c r="F63" t="s">
        <v>1087</v>
      </c>
      <c r="G63" t="e" vm="6">
        <f>IF(COUNTA(A52:A56)&gt;1,"",_xlfn.XLOOKUP(A52,Assets!E3:E7,Assets!F3:F7))</f>
        <v>#VALUE!</v>
      </c>
    </row>
    <row r="66" spans="1:7" x14ac:dyDescent="0.3">
      <c r="A66" s="24" t="s">
        <v>1051</v>
      </c>
      <c r="B66" t="s">
        <v>1080</v>
      </c>
    </row>
    <row r="67" spans="1:7" x14ac:dyDescent="0.3">
      <c r="A67" s="25">
        <v>1</v>
      </c>
      <c r="B67">
        <v>3</v>
      </c>
    </row>
    <row r="68" spans="1:7" x14ac:dyDescent="0.3">
      <c r="A68" s="25">
        <v>2</v>
      </c>
      <c r="B68">
        <v>19</v>
      </c>
    </row>
    <row r="69" spans="1:7" x14ac:dyDescent="0.3">
      <c r="A69" s="25">
        <v>3</v>
      </c>
      <c r="B69">
        <v>35</v>
      </c>
    </row>
    <row r="70" spans="1:7" x14ac:dyDescent="0.3">
      <c r="A70" s="25">
        <v>4</v>
      </c>
      <c r="B70">
        <v>87</v>
      </c>
    </row>
    <row r="71" spans="1:7" x14ac:dyDescent="0.3">
      <c r="A71" s="25">
        <v>5</v>
      </c>
      <c r="B71">
        <v>74</v>
      </c>
    </row>
    <row r="72" spans="1:7" x14ac:dyDescent="0.3">
      <c r="A72" s="25" t="s">
        <v>1052</v>
      </c>
      <c r="B72">
        <v>218</v>
      </c>
    </row>
    <row r="76" spans="1:7" x14ac:dyDescent="0.3">
      <c r="A76" s="24" t="s">
        <v>1047</v>
      </c>
      <c r="B76" s="24" t="s">
        <v>1079</v>
      </c>
    </row>
    <row r="77" spans="1:7" x14ac:dyDescent="0.3">
      <c r="A77" s="24" t="s">
        <v>1051</v>
      </c>
      <c r="B77" t="s">
        <v>11</v>
      </c>
      <c r="C77" t="s">
        <v>9</v>
      </c>
      <c r="D77" t="s">
        <v>6</v>
      </c>
      <c r="E77" t="s">
        <v>13</v>
      </c>
      <c r="F77" t="s">
        <v>10</v>
      </c>
      <c r="G77" t="s">
        <v>1052</v>
      </c>
    </row>
    <row r="78" spans="1:7" x14ac:dyDescent="0.3">
      <c r="A78" s="25" t="s">
        <v>1002</v>
      </c>
    </row>
    <row r="79" spans="1:7" x14ac:dyDescent="0.3">
      <c r="A79" s="28" t="s">
        <v>20</v>
      </c>
      <c r="B79" s="22">
        <v>891</v>
      </c>
      <c r="C79" s="22">
        <v>1332</v>
      </c>
      <c r="D79" s="22">
        <v>1282</v>
      </c>
      <c r="E79" s="22">
        <v>739</v>
      </c>
      <c r="F79" s="22">
        <v>560</v>
      </c>
      <c r="G79" s="22">
        <v>4804</v>
      </c>
    </row>
    <row r="80" spans="1:7" x14ac:dyDescent="0.3">
      <c r="A80" s="28" t="s">
        <v>12</v>
      </c>
      <c r="B80" s="22">
        <v>1991</v>
      </c>
      <c r="C80" s="22">
        <v>1886</v>
      </c>
      <c r="D80" s="22">
        <v>1206</v>
      </c>
      <c r="E80" s="22">
        <v>884</v>
      </c>
      <c r="F80" s="22">
        <v>1722</v>
      </c>
      <c r="G80" s="22">
        <v>7689</v>
      </c>
    </row>
    <row r="81" spans="1:7" x14ac:dyDescent="0.3">
      <c r="A81" s="28" t="s">
        <v>8</v>
      </c>
      <c r="B81" s="22">
        <v>1163</v>
      </c>
      <c r="C81" s="22">
        <v>1180</v>
      </c>
      <c r="D81" s="22">
        <v>1616</v>
      </c>
      <c r="E81" s="22">
        <v>1043</v>
      </c>
      <c r="F81" s="22">
        <v>1747</v>
      </c>
      <c r="G81" s="22">
        <v>6749</v>
      </c>
    </row>
    <row r="82" spans="1:7" x14ac:dyDescent="0.3">
      <c r="A82" s="28" t="s">
        <v>16</v>
      </c>
      <c r="B82" s="22">
        <v>1438</v>
      </c>
      <c r="C82" s="22">
        <v>1616</v>
      </c>
      <c r="D82" s="22">
        <v>866</v>
      </c>
      <c r="E82" s="22">
        <v>829</v>
      </c>
      <c r="F82" s="22">
        <v>2070</v>
      </c>
      <c r="G82" s="22">
        <v>6819</v>
      </c>
    </row>
    <row r="83" spans="1:7" x14ac:dyDescent="0.3">
      <c r="A83" s="25" t="s">
        <v>1001</v>
      </c>
    </row>
    <row r="84" spans="1:7" x14ac:dyDescent="0.3">
      <c r="A84" s="28" t="s">
        <v>24</v>
      </c>
      <c r="B84" s="22">
        <v>1233</v>
      </c>
      <c r="C84" s="22">
        <v>223</v>
      </c>
      <c r="D84" s="22">
        <v>1680</v>
      </c>
      <c r="E84" s="22">
        <v>990</v>
      </c>
      <c r="F84" s="22">
        <v>1508</v>
      </c>
      <c r="G84" s="22">
        <v>5634</v>
      </c>
    </row>
    <row r="85" spans="1:7" x14ac:dyDescent="0.3">
      <c r="A85" s="28" t="s">
        <v>15</v>
      </c>
      <c r="B85" s="22">
        <v>1598</v>
      </c>
      <c r="C85" s="22">
        <v>1907</v>
      </c>
      <c r="D85" s="22">
        <v>869</v>
      </c>
      <c r="E85" s="22">
        <v>1426</v>
      </c>
      <c r="F85" s="22">
        <v>1416</v>
      </c>
      <c r="G85" s="22">
        <v>7216</v>
      </c>
    </row>
    <row r="86" spans="1:7" x14ac:dyDescent="0.3">
      <c r="A86" s="28" t="s">
        <v>5</v>
      </c>
      <c r="B86" s="22">
        <v>900</v>
      </c>
      <c r="C86" s="22">
        <v>1016</v>
      </c>
      <c r="D86" s="22">
        <v>960</v>
      </c>
      <c r="E86" s="22">
        <v>940</v>
      </c>
      <c r="F86" s="22">
        <v>1193</v>
      </c>
      <c r="G86" s="22">
        <v>5009</v>
      </c>
    </row>
    <row r="87" spans="1:7" x14ac:dyDescent="0.3">
      <c r="A87" s="28" t="s">
        <v>18</v>
      </c>
      <c r="B87" s="22">
        <v>900</v>
      </c>
      <c r="C87" s="22">
        <v>1470</v>
      </c>
      <c r="D87" s="22">
        <v>1617</v>
      </c>
      <c r="E87" s="22">
        <v>1314</v>
      </c>
      <c r="F87" s="22">
        <v>941</v>
      </c>
      <c r="G87" s="22">
        <v>6242</v>
      </c>
    </row>
    <row r="88" spans="1:7" x14ac:dyDescent="0.3">
      <c r="A88" s="28" t="s">
        <v>14</v>
      </c>
      <c r="B88" s="22">
        <v>1255</v>
      </c>
      <c r="C88" s="22">
        <v>516</v>
      </c>
      <c r="D88" s="22">
        <v>1874</v>
      </c>
      <c r="E88" s="22">
        <v>1863</v>
      </c>
      <c r="F88" s="22">
        <v>1722</v>
      </c>
      <c r="G88" s="22">
        <v>7230</v>
      </c>
    </row>
    <row r="89" spans="1:7" x14ac:dyDescent="0.3">
      <c r="A89" s="28" t="s">
        <v>19</v>
      </c>
      <c r="B89" s="22">
        <v>1138</v>
      </c>
      <c r="C89" s="22">
        <v>1898</v>
      </c>
      <c r="D89" s="22">
        <v>1482</v>
      </c>
      <c r="E89" s="22">
        <v>846</v>
      </c>
      <c r="F89" s="22">
        <v>1154</v>
      </c>
      <c r="G89" s="22">
        <v>6518</v>
      </c>
    </row>
    <row r="90" spans="1:7" x14ac:dyDescent="0.3">
      <c r="A90" s="25" t="s">
        <v>1000</v>
      </c>
    </row>
    <row r="91" spans="1:7" x14ac:dyDescent="0.3">
      <c r="A91" s="28" t="s">
        <v>17</v>
      </c>
      <c r="B91" s="22">
        <v>1655</v>
      </c>
      <c r="C91" s="22">
        <v>805</v>
      </c>
      <c r="D91" s="22">
        <v>2263</v>
      </c>
      <c r="E91" s="22">
        <v>987</v>
      </c>
      <c r="F91" s="22">
        <v>1075</v>
      </c>
      <c r="G91" s="22">
        <v>6785</v>
      </c>
    </row>
    <row r="92" spans="1:7" x14ac:dyDescent="0.3">
      <c r="A92" s="28" t="s">
        <v>23</v>
      </c>
      <c r="B92" s="22">
        <v>1104</v>
      </c>
      <c r="C92" s="22">
        <v>2280</v>
      </c>
      <c r="D92" s="22">
        <v>1445</v>
      </c>
      <c r="E92" s="22">
        <v>1722</v>
      </c>
      <c r="F92" s="22">
        <v>1196</v>
      </c>
      <c r="G92" s="22">
        <v>7747</v>
      </c>
    </row>
    <row r="93" spans="1:7" x14ac:dyDescent="0.3">
      <c r="A93" s="28" t="s">
        <v>7</v>
      </c>
      <c r="B93" s="22">
        <v>372</v>
      </c>
      <c r="C93" s="22">
        <v>1818</v>
      </c>
      <c r="D93" s="22">
        <v>1346</v>
      </c>
      <c r="E93" s="22">
        <v>1156</v>
      </c>
      <c r="F93" s="22">
        <v>1484</v>
      </c>
      <c r="G93" s="22">
        <v>6176</v>
      </c>
    </row>
    <row r="94" spans="1:7" x14ac:dyDescent="0.3">
      <c r="A94" s="28" t="s">
        <v>22</v>
      </c>
      <c r="B94" s="22">
        <v>1415</v>
      </c>
      <c r="C94" s="22">
        <v>1271</v>
      </c>
      <c r="D94" s="22">
        <v>1214</v>
      </c>
      <c r="E94" s="22">
        <v>1135</v>
      </c>
      <c r="F94" s="22">
        <v>1566</v>
      </c>
      <c r="G94" s="22">
        <v>6601</v>
      </c>
    </row>
    <row r="95" spans="1:7" x14ac:dyDescent="0.3">
      <c r="A95" s="28" t="s">
        <v>21</v>
      </c>
      <c r="B95" s="22">
        <v>1362</v>
      </c>
      <c r="C95" s="22">
        <v>1363</v>
      </c>
      <c r="D95" s="22">
        <v>1152</v>
      </c>
      <c r="E95" s="22">
        <v>777</v>
      </c>
      <c r="F95" s="22">
        <v>750</v>
      </c>
      <c r="G95"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562D-F58E-486B-9956-28DCE565558A}">
  <dimension ref="A1:AJ45"/>
  <sheetViews>
    <sheetView zoomScale="67" zoomScaleNormal="85" workbookViewId="0">
      <selection activeCell="Z25" sqref="Z25"/>
    </sheetView>
  </sheetViews>
  <sheetFormatPr defaultRowHeight="14.4" x14ac:dyDescent="0.3"/>
  <cols>
    <col min="1" max="1" width="1.796875" customWidth="1"/>
    <col min="2" max="2" width="2.59765625" customWidth="1"/>
    <col min="5" max="5" width="3.5" customWidth="1"/>
    <col min="15" max="15" width="1.69921875" customWidth="1"/>
  </cols>
  <sheetData>
    <row r="1" spans="1:36" ht="49.8" customHeight="1" x14ac:dyDescent="0.3">
      <c r="A1" s="20"/>
      <c r="B1" s="20"/>
      <c r="C1" s="42" t="s">
        <v>1088</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spans="1:36"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row>
    <row r="3" spans="1:36"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row>
    <row r="4" spans="1:36"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row>
    <row r="5" spans="1:36"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row>
    <row r="6" spans="1:36"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row>
    <row r="7" spans="1:36"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row>
    <row r="8" spans="1:36"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row>
    <row r="9" spans="1:36"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row>
    <row r="10" spans="1:3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row>
    <row r="11" spans="1:3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row>
    <row r="12" spans="1:3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row>
    <row r="13" spans="1:3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row>
    <row r="14" spans="1:3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row>
    <row r="15" spans="1:3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row>
    <row r="16" spans="1:3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row>
    <row r="17" spans="1:3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row>
    <row r="18" spans="1:36"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row>
    <row r="19" spans="1:36"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row>
    <row r="20" spans="1:36" x14ac:dyDescent="0.3">
      <c r="A20" s="20"/>
      <c r="B20" s="20"/>
      <c r="C20" s="20"/>
      <c r="D20" s="20"/>
      <c r="E20" s="20"/>
      <c r="F20" s="20"/>
      <c r="G20" s="20"/>
      <c r="H20" s="20"/>
      <c r="I20" s="20"/>
      <c r="J20" s="20"/>
      <c r="K20" s="20"/>
      <c r="L20" s="20"/>
      <c r="M20" s="20"/>
      <c r="N20" s="20"/>
      <c r="O20" s="20"/>
      <c r="P20" s="29"/>
      <c r="Q20" s="30" t="str" cm="1">
        <f t="array" ref="Q20:U20">pivots!B77:F77</f>
        <v>R01</v>
      </c>
      <c r="R20" s="30" t="str">
        <v>R02</v>
      </c>
      <c r="S20" s="30" t="str">
        <v>R03</v>
      </c>
      <c r="T20" s="30" t="str">
        <v>R04</v>
      </c>
      <c r="U20" s="30" t="str">
        <v>R05</v>
      </c>
      <c r="V20" s="31" t="s">
        <v>1081</v>
      </c>
      <c r="W20" s="20"/>
      <c r="X20" s="20"/>
      <c r="Y20" s="20"/>
      <c r="Z20" s="20"/>
      <c r="AA20" s="20"/>
      <c r="AB20" s="20"/>
      <c r="AC20" s="20"/>
      <c r="AD20" s="20"/>
      <c r="AE20" s="20"/>
      <c r="AF20" s="20"/>
      <c r="AG20" s="20"/>
      <c r="AH20" s="20"/>
      <c r="AI20" s="20"/>
      <c r="AJ20" s="20"/>
    </row>
    <row r="21" spans="1:36" x14ac:dyDescent="0.3">
      <c r="A21" s="20"/>
      <c r="B21" s="20"/>
      <c r="C21" s="20"/>
      <c r="D21" s="20"/>
      <c r="E21" s="20"/>
      <c r="F21" s="20"/>
      <c r="G21" s="20"/>
      <c r="H21" s="20"/>
      <c r="I21" s="20"/>
      <c r="J21" s="20"/>
      <c r="K21" s="20"/>
      <c r="L21" s="20"/>
      <c r="M21" s="20"/>
      <c r="N21" s="20"/>
      <c r="O21" s="20"/>
      <c r="P21" s="32" t="str" cm="1">
        <f t="array" ref="P21:V38">IF(pivots!A78:G95="","",pivots!A78:G95)</f>
        <v>Cincinnati</v>
      </c>
      <c r="Q21" s="33" t="str">
        <v/>
      </c>
      <c r="R21" s="33" t="str">
        <v/>
      </c>
      <c r="S21" s="33" t="str">
        <v/>
      </c>
      <c r="T21" s="33" t="str">
        <v/>
      </c>
      <c r="U21" s="33" t="str">
        <v/>
      </c>
      <c r="V21" s="34" t="str">
        <v/>
      </c>
      <c r="W21" s="20"/>
      <c r="X21" s="20"/>
      <c r="Y21" s="20"/>
      <c r="Z21" s="20"/>
      <c r="AA21" s="20"/>
      <c r="AB21" s="20"/>
      <c r="AC21" s="20"/>
      <c r="AD21" s="20"/>
      <c r="AE21" s="20"/>
      <c r="AF21" s="20"/>
      <c r="AG21" s="20"/>
      <c r="AH21" s="20"/>
      <c r="AI21" s="20"/>
      <c r="AJ21" s="20"/>
    </row>
    <row r="22" spans="1:36" x14ac:dyDescent="0.3">
      <c r="A22" s="20"/>
      <c r="B22" s="20"/>
      <c r="C22" s="20"/>
      <c r="D22" s="20"/>
      <c r="E22" s="20"/>
      <c r="F22" s="20"/>
      <c r="G22" s="20"/>
      <c r="H22" s="20"/>
      <c r="I22" s="20"/>
      <c r="J22" s="20"/>
      <c r="K22" s="20"/>
      <c r="L22" s="20"/>
      <c r="M22" s="20"/>
      <c r="N22" s="20"/>
      <c r="O22" s="20"/>
      <c r="P22" s="35" t="str">
        <v>C0003</v>
      </c>
      <c r="Q22" s="36">
        <v>891</v>
      </c>
      <c r="R22" s="36">
        <v>1332</v>
      </c>
      <c r="S22" s="36">
        <v>1282</v>
      </c>
      <c r="T22" s="36">
        <v>739</v>
      </c>
      <c r="U22" s="36">
        <v>560</v>
      </c>
      <c r="V22" s="37">
        <v>4804</v>
      </c>
      <c r="W22" s="20"/>
      <c r="X22" s="20"/>
      <c r="Y22" s="20"/>
      <c r="Z22" s="20"/>
      <c r="AA22" s="20"/>
      <c r="AB22" s="20"/>
      <c r="AC22" s="20"/>
      <c r="AD22" s="20"/>
      <c r="AE22" s="20"/>
      <c r="AF22" s="20"/>
      <c r="AG22" s="20"/>
      <c r="AH22" s="20"/>
      <c r="AI22" s="20"/>
      <c r="AJ22" s="20"/>
    </row>
    <row r="23" spans="1:36" x14ac:dyDescent="0.3">
      <c r="A23" s="20"/>
      <c r="B23" s="20"/>
      <c r="C23" s="20"/>
      <c r="D23" s="20"/>
      <c r="E23" s="20"/>
      <c r="F23" s="20"/>
      <c r="G23" s="20"/>
      <c r="H23" s="20"/>
      <c r="I23" s="20"/>
      <c r="J23" s="20"/>
      <c r="K23" s="20"/>
      <c r="L23" s="20"/>
      <c r="M23" s="20"/>
      <c r="N23" s="20"/>
      <c r="O23" s="20"/>
      <c r="P23" s="35" t="str">
        <v>C0004</v>
      </c>
      <c r="Q23" s="36">
        <v>1991</v>
      </c>
      <c r="R23" s="36">
        <v>1886</v>
      </c>
      <c r="S23" s="36">
        <v>1206</v>
      </c>
      <c r="T23" s="36">
        <v>884</v>
      </c>
      <c r="U23" s="36">
        <v>1722</v>
      </c>
      <c r="V23" s="37">
        <v>7689</v>
      </c>
      <c r="W23" s="20"/>
      <c r="X23" s="20"/>
      <c r="Y23" s="20"/>
      <c r="Z23" s="20"/>
      <c r="AA23" s="20"/>
      <c r="AB23" s="20"/>
      <c r="AC23" s="20"/>
      <c r="AD23" s="20"/>
      <c r="AE23" s="20"/>
      <c r="AF23" s="20"/>
      <c r="AG23" s="20"/>
      <c r="AH23" s="20"/>
      <c r="AI23" s="20"/>
      <c r="AJ23" s="20"/>
    </row>
    <row r="24" spans="1:36" x14ac:dyDescent="0.3">
      <c r="A24" s="20"/>
      <c r="B24" s="20"/>
      <c r="C24" s="20"/>
      <c r="D24" s="20"/>
      <c r="E24" s="20"/>
      <c r="F24" s="20"/>
      <c r="G24" s="20"/>
      <c r="H24" s="20"/>
      <c r="I24" s="20"/>
      <c r="J24" s="20"/>
      <c r="K24" s="20"/>
      <c r="L24" s="20"/>
      <c r="M24" s="20"/>
      <c r="N24" s="20"/>
      <c r="O24" s="20"/>
      <c r="P24" s="35" t="str">
        <v>C0011</v>
      </c>
      <c r="Q24" s="36">
        <v>1163</v>
      </c>
      <c r="R24" s="36">
        <v>1180</v>
      </c>
      <c r="S24" s="36">
        <v>1616</v>
      </c>
      <c r="T24" s="36">
        <v>1043</v>
      </c>
      <c r="U24" s="36">
        <v>1747</v>
      </c>
      <c r="V24" s="37">
        <v>6749</v>
      </c>
      <c r="W24" s="20"/>
      <c r="X24" s="20"/>
      <c r="Y24" s="20"/>
      <c r="Z24" s="20"/>
      <c r="AA24" s="20"/>
      <c r="AB24" s="20"/>
      <c r="AC24" s="20"/>
      <c r="AD24" s="20"/>
      <c r="AE24" s="20"/>
      <c r="AF24" s="20"/>
      <c r="AG24" s="20"/>
      <c r="AH24" s="20"/>
      <c r="AI24" s="20"/>
      <c r="AJ24" s="20"/>
    </row>
    <row r="25" spans="1:36" x14ac:dyDescent="0.3">
      <c r="A25" s="20"/>
      <c r="B25" s="20"/>
      <c r="C25" s="20"/>
      <c r="D25" s="20"/>
      <c r="E25" s="20"/>
      <c r="F25" s="20"/>
      <c r="G25" s="20"/>
      <c r="H25" s="20"/>
      <c r="I25" s="20"/>
      <c r="J25" s="20"/>
      <c r="K25" s="20"/>
      <c r="L25" s="20"/>
      <c r="M25" s="20"/>
      <c r="N25" s="20"/>
      <c r="O25" s="20"/>
      <c r="P25" s="35" t="str">
        <v>C0012</v>
      </c>
      <c r="Q25" s="36">
        <v>1438</v>
      </c>
      <c r="R25" s="36">
        <v>1616</v>
      </c>
      <c r="S25" s="36">
        <v>866</v>
      </c>
      <c r="T25" s="36">
        <v>829</v>
      </c>
      <c r="U25" s="36">
        <v>2070</v>
      </c>
      <c r="V25" s="37">
        <v>6819</v>
      </c>
      <c r="W25" s="20"/>
      <c r="X25" s="20"/>
      <c r="Y25" s="20"/>
      <c r="Z25" s="20"/>
      <c r="AA25" s="20"/>
      <c r="AB25" s="20"/>
      <c r="AC25" s="20"/>
      <c r="AD25" s="20"/>
      <c r="AE25" s="20"/>
      <c r="AF25" s="20"/>
      <c r="AG25" s="20"/>
      <c r="AH25" s="20"/>
      <c r="AI25" s="20"/>
      <c r="AJ25" s="20"/>
    </row>
    <row r="26" spans="1:36" x14ac:dyDescent="0.3">
      <c r="A26" s="20"/>
      <c r="B26" s="20"/>
      <c r="C26" s="20"/>
      <c r="D26" s="20"/>
      <c r="E26" s="20"/>
      <c r="F26" s="20"/>
      <c r="G26" s="20"/>
      <c r="H26" s="20"/>
      <c r="I26" s="20"/>
      <c r="J26" s="20"/>
      <c r="K26" s="20"/>
      <c r="L26" s="20"/>
      <c r="M26" s="20"/>
      <c r="N26" s="20"/>
      <c r="O26" s="20"/>
      <c r="P26" s="32" t="str">
        <v>Cleveland</v>
      </c>
      <c r="Q26" s="36" t="str">
        <v/>
      </c>
      <c r="R26" s="36" t="str">
        <v/>
      </c>
      <c r="S26" s="36" t="str">
        <v/>
      </c>
      <c r="T26" s="36" t="str">
        <v/>
      </c>
      <c r="U26" s="36" t="str">
        <v/>
      </c>
      <c r="V26" s="37" t="str">
        <v/>
      </c>
      <c r="W26" s="20"/>
      <c r="X26" s="20"/>
      <c r="Y26" s="20"/>
      <c r="Z26" s="20"/>
      <c r="AA26" s="20"/>
      <c r="AB26" s="20"/>
      <c r="AC26" s="20"/>
      <c r="AD26" s="20"/>
      <c r="AE26" s="20"/>
      <c r="AF26" s="20"/>
      <c r="AG26" s="20"/>
      <c r="AH26" s="20"/>
      <c r="AI26" s="20"/>
      <c r="AJ26" s="20"/>
    </row>
    <row r="27" spans="1:36" x14ac:dyDescent="0.3">
      <c r="A27" s="20"/>
      <c r="B27" s="20"/>
      <c r="C27" s="20"/>
      <c r="D27" s="20"/>
      <c r="E27" s="20"/>
      <c r="F27" s="20"/>
      <c r="G27" s="20"/>
      <c r="H27" s="20"/>
      <c r="I27" s="20"/>
      <c r="J27" s="20"/>
      <c r="K27" s="20"/>
      <c r="L27" s="20"/>
      <c r="M27" s="20"/>
      <c r="N27" s="20"/>
      <c r="O27" s="20"/>
      <c r="P27" s="35" t="str">
        <v>C0002</v>
      </c>
      <c r="Q27" s="36">
        <v>1233</v>
      </c>
      <c r="R27" s="36">
        <v>223</v>
      </c>
      <c r="S27" s="36">
        <v>1680</v>
      </c>
      <c r="T27" s="36">
        <v>990</v>
      </c>
      <c r="U27" s="36">
        <v>1508</v>
      </c>
      <c r="V27" s="37">
        <v>5634</v>
      </c>
      <c r="W27" s="20"/>
      <c r="X27" s="20"/>
      <c r="Y27" s="20"/>
      <c r="Z27" s="20"/>
      <c r="AA27" s="20"/>
      <c r="AB27" s="20"/>
      <c r="AC27" s="20"/>
      <c r="AD27" s="20"/>
      <c r="AE27" s="20"/>
      <c r="AF27" s="20"/>
      <c r="AG27" s="20"/>
      <c r="AH27" s="20"/>
      <c r="AI27" s="20"/>
      <c r="AJ27" s="20"/>
    </row>
    <row r="28" spans="1:36" x14ac:dyDescent="0.3">
      <c r="A28" s="20"/>
      <c r="B28" s="20"/>
      <c r="C28" s="20"/>
      <c r="D28" s="20"/>
      <c r="E28" s="20"/>
      <c r="F28" s="20"/>
      <c r="G28" s="20"/>
      <c r="H28" s="20"/>
      <c r="I28" s="20"/>
      <c r="J28" s="20"/>
      <c r="K28" s="20"/>
      <c r="L28" s="20"/>
      <c r="M28" s="20"/>
      <c r="N28" s="20"/>
      <c r="O28" s="20"/>
      <c r="P28" s="35" t="str">
        <v>C0007</v>
      </c>
      <c r="Q28" s="36">
        <v>1598</v>
      </c>
      <c r="R28" s="36">
        <v>1907</v>
      </c>
      <c r="S28" s="36">
        <v>869</v>
      </c>
      <c r="T28" s="36">
        <v>1426</v>
      </c>
      <c r="U28" s="36">
        <v>1416</v>
      </c>
      <c r="V28" s="37">
        <v>7216</v>
      </c>
      <c r="W28" s="20"/>
      <c r="X28" s="20"/>
      <c r="Y28" s="20"/>
      <c r="Z28" s="20"/>
      <c r="AA28" s="20"/>
      <c r="AB28" s="20"/>
      <c r="AC28" s="20"/>
      <c r="AD28" s="20"/>
      <c r="AE28" s="20"/>
      <c r="AF28" s="20"/>
      <c r="AG28" s="20"/>
      <c r="AH28" s="20"/>
      <c r="AI28" s="20"/>
      <c r="AJ28" s="20"/>
    </row>
    <row r="29" spans="1:36" x14ac:dyDescent="0.3">
      <c r="A29" s="20"/>
      <c r="B29" s="20"/>
      <c r="C29" s="20"/>
      <c r="D29" s="20"/>
      <c r="E29" s="20"/>
      <c r="F29" s="20"/>
      <c r="G29" s="20"/>
      <c r="H29" s="20"/>
      <c r="I29" s="20"/>
      <c r="J29" s="20"/>
      <c r="K29" s="20"/>
      <c r="L29" s="20"/>
      <c r="M29" s="20"/>
      <c r="N29" s="20"/>
      <c r="O29" s="20"/>
      <c r="P29" s="35" t="str">
        <v>C0008</v>
      </c>
      <c r="Q29" s="36">
        <v>900</v>
      </c>
      <c r="R29" s="36">
        <v>1016</v>
      </c>
      <c r="S29" s="36">
        <v>960</v>
      </c>
      <c r="T29" s="36">
        <v>940</v>
      </c>
      <c r="U29" s="36">
        <v>1193</v>
      </c>
      <c r="V29" s="37">
        <v>5009</v>
      </c>
      <c r="W29" s="20"/>
      <c r="X29" s="20"/>
      <c r="Y29" s="20"/>
      <c r="Z29" s="20"/>
      <c r="AA29" s="20"/>
      <c r="AB29" s="20"/>
      <c r="AC29" s="20"/>
      <c r="AD29" s="20"/>
      <c r="AE29" s="20"/>
      <c r="AF29" s="20"/>
      <c r="AG29" s="20"/>
      <c r="AH29" s="20"/>
      <c r="AI29" s="20"/>
      <c r="AJ29" s="20"/>
    </row>
    <row r="30" spans="1:36" x14ac:dyDescent="0.3">
      <c r="A30" s="20"/>
      <c r="B30" s="20"/>
      <c r="C30" s="20"/>
      <c r="D30" s="20"/>
      <c r="E30" s="20"/>
      <c r="F30" s="20"/>
      <c r="G30" s="20"/>
      <c r="H30" s="20"/>
      <c r="I30" s="20"/>
      <c r="J30" s="20"/>
      <c r="K30" s="20"/>
      <c r="L30" s="20"/>
      <c r="M30" s="20"/>
      <c r="N30" s="20"/>
      <c r="O30" s="20"/>
      <c r="P30" s="35" t="str">
        <v>C0010</v>
      </c>
      <c r="Q30" s="36">
        <v>900</v>
      </c>
      <c r="R30" s="36">
        <v>1470</v>
      </c>
      <c r="S30" s="36">
        <v>1617</v>
      </c>
      <c r="T30" s="36">
        <v>1314</v>
      </c>
      <c r="U30" s="36">
        <v>941</v>
      </c>
      <c r="V30" s="37">
        <v>6242</v>
      </c>
      <c r="W30" s="20"/>
      <c r="X30" s="20"/>
      <c r="Y30" s="20"/>
      <c r="Z30" s="20"/>
      <c r="AA30" s="20"/>
      <c r="AB30" s="20"/>
      <c r="AC30" s="20"/>
      <c r="AD30" s="20"/>
      <c r="AE30" s="20"/>
      <c r="AF30" s="20"/>
      <c r="AG30" s="20"/>
      <c r="AH30" s="20"/>
      <c r="AI30" s="20"/>
      <c r="AJ30" s="20"/>
    </row>
    <row r="31" spans="1:36" x14ac:dyDescent="0.3">
      <c r="A31" s="20"/>
      <c r="B31" s="20"/>
      <c r="C31" s="20"/>
      <c r="D31" s="20"/>
      <c r="E31" s="20"/>
      <c r="F31" s="20"/>
      <c r="G31" s="20"/>
      <c r="H31" s="20"/>
      <c r="I31" s="20"/>
      <c r="J31" s="20"/>
      <c r="K31" s="20"/>
      <c r="L31" s="20"/>
      <c r="M31" s="43" t="e" vm="6">
        <f>pivots!G63</f>
        <v>#VALUE!</v>
      </c>
      <c r="N31" s="43"/>
      <c r="O31" s="20"/>
      <c r="P31" s="35" t="str">
        <v>C0013</v>
      </c>
      <c r="Q31" s="36">
        <v>1255</v>
      </c>
      <c r="R31" s="36">
        <v>516</v>
      </c>
      <c r="S31" s="36">
        <v>1874</v>
      </c>
      <c r="T31" s="36">
        <v>1863</v>
      </c>
      <c r="U31" s="36">
        <v>1722</v>
      </c>
      <c r="V31" s="37">
        <v>7230</v>
      </c>
      <c r="W31" s="20"/>
      <c r="X31" s="20"/>
      <c r="Y31" s="20"/>
      <c r="Z31" s="20"/>
      <c r="AA31" s="20"/>
      <c r="AB31" s="20"/>
      <c r="AC31" s="20"/>
      <c r="AD31" s="20"/>
      <c r="AE31" s="20"/>
      <c r="AF31" s="20"/>
      <c r="AG31" s="20"/>
      <c r="AH31" s="20"/>
      <c r="AI31" s="20"/>
      <c r="AJ31" s="20"/>
    </row>
    <row r="32" spans="1:36" x14ac:dyDescent="0.3">
      <c r="A32" s="20"/>
      <c r="B32" s="20"/>
      <c r="C32" s="20"/>
      <c r="D32" s="20"/>
      <c r="E32" s="20"/>
      <c r="F32" s="20"/>
      <c r="G32" s="20"/>
      <c r="H32" s="20"/>
      <c r="I32" s="20"/>
      <c r="J32" s="20"/>
      <c r="K32" s="20"/>
      <c r="L32" s="20"/>
      <c r="M32" s="43"/>
      <c r="N32" s="43"/>
      <c r="O32" s="20"/>
      <c r="P32" s="35" t="str">
        <v>C0015</v>
      </c>
      <c r="Q32" s="36">
        <v>1138</v>
      </c>
      <c r="R32" s="36">
        <v>1898</v>
      </c>
      <c r="S32" s="36">
        <v>1482</v>
      </c>
      <c r="T32" s="36">
        <v>846</v>
      </c>
      <c r="U32" s="36">
        <v>1154</v>
      </c>
      <c r="V32" s="37">
        <v>6518</v>
      </c>
      <c r="W32" s="20"/>
      <c r="X32" s="20"/>
      <c r="Y32" s="20"/>
      <c r="Z32" s="20"/>
      <c r="AA32" s="20"/>
      <c r="AB32" s="20"/>
      <c r="AC32" s="20"/>
      <c r="AD32" s="20"/>
      <c r="AE32" s="20"/>
      <c r="AF32" s="20"/>
      <c r="AG32" s="20"/>
      <c r="AH32" s="20"/>
      <c r="AI32" s="20"/>
      <c r="AJ32" s="20"/>
    </row>
    <row r="33" spans="1:36" x14ac:dyDescent="0.3">
      <c r="A33" s="20"/>
      <c r="B33" s="20"/>
      <c r="C33" s="20"/>
      <c r="D33" s="20"/>
      <c r="E33" s="20"/>
      <c r="F33" s="20"/>
      <c r="G33" s="20"/>
      <c r="H33" s="20"/>
      <c r="I33" s="20"/>
      <c r="J33" s="20"/>
      <c r="K33" s="20"/>
      <c r="L33" s="20"/>
      <c r="M33" s="43"/>
      <c r="N33" s="43"/>
      <c r="O33" s="20"/>
      <c r="P33" s="32" t="str">
        <v>Columbus</v>
      </c>
      <c r="Q33" s="36" t="str">
        <v/>
      </c>
      <c r="R33" s="36" t="str">
        <v/>
      </c>
      <c r="S33" s="36" t="str">
        <v/>
      </c>
      <c r="T33" s="36" t="str">
        <v/>
      </c>
      <c r="U33" s="36" t="str">
        <v/>
      </c>
      <c r="V33" s="37" t="str">
        <v/>
      </c>
      <c r="W33" s="20"/>
      <c r="X33" s="20"/>
      <c r="Y33" s="20"/>
      <c r="Z33" s="20"/>
      <c r="AA33" s="20"/>
      <c r="AB33" s="20"/>
      <c r="AC33" s="20"/>
      <c r="AD33" s="20"/>
      <c r="AE33" s="20"/>
      <c r="AF33" s="20"/>
      <c r="AG33" s="20"/>
      <c r="AH33" s="20"/>
      <c r="AI33" s="20"/>
      <c r="AJ33" s="20"/>
    </row>
    <row r="34" spans="1:36" x14ac:dyDescent="0.3">
      <c r="A34" s="20"/>
      <c r="B34" s="20"/>
      <c r="C34" s="20"/>
      <c r="D34" s="20"/>
      <c r="E34" s="20"/>
      <c r="F34" s="20"/>
      <c r="G34" s="20"/>
      <c r="H34" s="20"/>
      <c r="I34" s="20"/>
      <c r="J34" s="20"/>
      <c r="K34" s="20"/>
      <c r="L34" s="20"/>
      <c r="M34" s="43"/>
      <c r="N34" s="43"/>
      <c r="O34" s="20"/>
      <c r="P34" s="35" t="str">
        <v>C0001</v>
      </c>
      <c r="Q34" s="36">
        <v>1655</v>
      </c>
      <c r="R34" s="36">
        <v>805</v>
      </c>
      <c r="S34" s="36">
        <v>2263</v>
      </c>
      <c r="T34" s="36">
        <v>987</v>
      </c>
      <c r="U34" s="36">
        <v>1075</v>
      </c>
      <c r="V34" s="37">
        <v>6785</v>
      </c>
      <c r="W34" s="20"/>
      <c r="X34" s="20"/>
      <c r="Y34" s="20"/>
      <c r="Z34" s="20"/>
      <c r="AA34" s="20"/>
      <c r="AB34" s="20"/>
      <c r="AC34" s="20"/>
      <c r="AD34" s="20"/>
      <c r="AE34" s="20"/>
      <c r="AF34" s="20"/>
      <c r="AG34" s="20"/>
      <c r="AH34" s="20"/>
      <c r="AI34" s="20"/>
      <c r="AJ34" s="20"/>
    </row>
    <row r="35" spans="1:36" x14ac:dyDescent="0.3">
      <c r="A35" s="20"/>
      <c r="B35" s="20"/>
      <c r="C35" s="20"/>
      <c r="D35" s="20"/>
      <c r="E35" s="20"/>
      <c r="F35" s="20"/>
      <c r="G35" s="20"/>
      <c r="H35" s="20"/>
      <c r="I35" s="20"/>
      <c r="J35" s="20"/>
      <c r="K35" s="20"/>
      <c r="L35" s="20"/>
      <c r="M35" s="43"/>
      <c r="N35" s="43"/>
      <c r="O35" s="20"/>
      <c r="P35" s="35" t="str">
        <v>C0005</v>
      </c>
      <c r="Q35" s="36">
        <v>1104</v>
      </c>
      <c r="R35" s="36">
        <v>2280</v>
      </c>
      <c r="S35" s="36">
        <v>1445</v>
      </c>
      <c r="T35" s="36">
        <v>1722</v>
      </c>
      <c r="U35" s="36">
        <v>1196</v>
      </c>
      <c r="V35" s="37">
        <v>7747</v>
      </c>
      <c r="W35" s="20"/>
      <c r="X35" s="20"/>
      <c r="Y35" s="20"/>
      <c r="Z35" s="20"/>
      <c r="AA35" s="20"/>
      <c r="AB35" s="20"/>
      <c r="AC35" s="20"/>
      <c r="AD35" s="20"/>
      <c r="AE35" s="20"/>
      <c r="AF35" s="20"/>
      <c r="AG35" s="20"/>
      <c r="AH35" s="20"/>
      <c r="AI35" s="20"/>
      <c r="AJ35" s="20"/>
    </row>
    <row r="36" spans="1:36" x14ac:dyDescent="0.3">
      <c r="A36" s="20"/>
      <c r="B36" s="20"/>
      <c r="C36" s="20"/>
      <c r="D36" s="20"/>
      <c r="E36" s="20"/>
      <c r="F36" s="20"/>
      <c r="G36" s="20"/>
      <c r="H36" s="20"/>
      <c r="I36" s="20"/>
      <c r="J36" s="20"/>
      <c r="K36" s="20"/>
      <c r="L36" s="20"/>
      <c r="M36" s="44" t="str">
        <f>pivots!G59</f>
        <v>% of calls:22%</v>
      </c>
      <c r="N36" s="44"/>
      <c r="O36" s="20"/>
      <c r="P36" s="35" t="str">
        <v>C0006</v>
      </c>
      <c r="Q36" s="36">
        <v>372</v>
      </c>
      <c r="R36" s="36">
        <v>1818</v>
      </c>
      <c r="S36" s="36">
        <v>1346</v>
      </c>
      <c r="T36" s="36">
        <v>1156</v>
      </c>
      <c r="U36" s="36">
        <v>1484</v>
      </c>
      <c r="V36" s="37">
        <v>6176</v>
      </c>
      <c r="W36" s="20"/>
      <c r="X36" s="20"/>
      <c r="Y36" s="20"/>
      <c r="Z36" s="20"/>
      <c r="AA36" s="20"/>
      <c r="AB36" s="20"/>
      <c r="AC36" s="20"/>
      <c r="AD36" s="20"/>
      <c r="AE36" s="20"/>
      <c r="AF36" s="20"/>
      <c r="AG36" s="20"/>
      <c r="AH36" s="20"/>
      <c r="AI36" s="20"/>
      <c r="AJ36" s="20"/>
    </row>
    <row r="37" spans="1:36" x14ac:dyDescent="0.3">
      <c r="A37" s="20"/>
      <c r="B37" s="20"/>
      <c r="C37" s="20"/>
      <c r="D37" s="20"/>
      <c r="E37" s="20"/>
      <c r="F37" s="20"/>
      <c r="G37" s="20"/>
      <c r="H37" s="20"/>
      <c r="I37" s="20"/>
      <c r="J37" s="20"/>
      <c r="K37" s="20"/>
      <c r="L37" s="20"/>
      <c r="M37" s="44" t="str">
        <f>pivots!G60</f>
        <v>Call rank:1</v>
      </c>
      <c r="N37" s="44"/>
      <c r="O37" s="20"/>
      <c r="P37" s="35" t="str">
        <v>C0009</v>
      </c>
      <c r="Q37" s="36">
        <v>1415</v>
      </c>
      <c r="R37" s="36">
        <v>1271</v>
      </c>
      <c r="S37" s="36">
        <v>1214</v>
      </c>
      <c r="T37" s="36">
        <v>1135</v>
      </c>
      <c r="U37" s="36">
        <v>1566</v>
      </c>
      <c r="V37" s="37">
        <v>6601</v>
      </c>
      <c r="W37" s="20"/>
      <c r="X37" s="20"/>
      <c r="Y37" s="20"/>
      <c r="Z37" s="20"/>
      <c r="AA37" s="20"/>
      <c r="AB37" s="20"/>
      <c r="AC37" s="20"/>
      <c r="AD37" s="20"/>
      <c r="AE37" s="20"/>
      <c r="AF37" s="20"/>
      <c r="AG37" s="20"/>
      <c r="AH37" s="20"/>
      <c r="AI37" s="20"/>
      <c r="AJ37" s="20"/>
    </row>
    <row r="38" spans="1:36" x14ac:dyDescent="0.3">
      <c r="A38" s="20"/>
      <c r="B38" s="20"/>
      <c r="C38" s="20"/>
      <c r="D38" s="20"/>
      <c r="E38" s="20"/>
      <c r="F38" s="20"/>
      <c r="G38" s="20"/>
      <c r="H38" s="20"/>
      <c r="I38" s="20"/>
      <c r="J38" s="20"/>
      <c r="K38" s="20"/>
      <c r="L38" s="20"/>
      <c r="M38" s="44" t="str">
        <f>pivots!G61</f>
        <v>Amount Rank:2</v>
      </c>
      <c r="N38" s="44"/>
      <c r="O38" s="20"/>
      <c r="P38" s="38" t="str">
        <v>C0014</v>
      </c>
      <c r="Q38" s="39">
        <v>1362</v>
      </c>
      <c r="R38" s="39">
        <v>1363</v>
      </c>
      <c r="S38" s="39">
        <v>1152</v>
      </c>
      <c r="T38" s="39">
        <v>777</v>
      </c>
      <c r="U38" s="39">
        <v>750</v>
      </c>
      <c r="V38" s="40">
        <v>5404</v>
      </c>
      <c r="W38" s="20"/>
      <c r="X38" s="20"/>
      <c r="Y38" s="20"/>
      <c r="Z38" s="20"/>
      <c r="AA38" s="20"/>
      <c r="AB38" s="20"/>
      <c r="AC38" s="20"/>
      <c r="AD38" s="20"/>
      <c r="AE38" s="20"/>
      <c r="AF38" s="20"/>
      <c r="AG38" s="20"/>
      <c r="AH38" s="20"/>
      <c r="AI38" s="20"/>
      <c r="AJ38" s="20"/>
    </row>
    <row r="39" spans="1:36"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row>
    <row r="40" spans="1:36"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row>
    <row r="41" spans="1:36"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row>
    <row r="42" spans="1:36"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row>
    <row r="43" spans="1:36"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row>
    <row r="44" spans="1:36"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row>
    <row r="45" spans="1:36"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row>
  </sheetData>
  <mergeCells count="4">
    <mergeCell ref="M31:N35"/>
    <mergeCell ref="M36:N36"/>
    <mergeCell ref="M37:N37"/>
    <mergeCell ref="M38:N38"/>
  </mergeCells>
  <conditionalFormatting sqref="Q20:U38">
    <cfRule type="dataBar" priority="2">
      <dataBar>
        <cfvo type="num" val="0"/>
        <cfvo type="formula" val="MAX($Q$21:$U$38)*2"/>
        <color theme="1" tint="0.249977111117893"/>
      </dataBar>
      <extLst>
        <ext xmlns:x14="http://schemas.microsoft.com/office/spreadsheetml/2009/9/main" uri="{B025F937-C7B1-47D3-B67F-A62EFF666E3E}">
          <x14:id>{AE05499F-B0D3-404E-9778-539110497FFC}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4D1608E9-9353-4082-82C8-F5E54103EAEA}">
            <xm:f>Q$20=pivots!$A$52</xm:f>
            <x14:dxf>
              <fill>
                <patternFill>
                  <bgColor theme="8" tint="0.59996337778862885"/>
                </patternFill>
              </fill>
              <border>
                <left style="thin">
                  <color auto="1"/>
                </left>
                <right style="thin">
                  <color auto="1"/>
                </right>
                <vertical/>
                <horizontal/>
              </border>
            </x14:dxf>
          </x14:cfRule>
          <x14:cfRule type="dataBar" id="{AE05499F-B0D3-404E-9778-539110497FFC}">
            <x14:dataBar minLength="0" maxLength="100" gradient="0">
              <x14:cfvo type="num">
                <xm:f>0</xm:f>
              </x14:cfvo>
              <x14:cfvo type="formula">
                <xm:f>MAX($Q$21:$U$38)*2</xm:f>
              </x14:cfvo>
              <x14:negativeFillColor rgb="FFFF0000"/>
              <x14:axisColor rgb="FF000000"/>
            </x14:dataBar>
          </x14:cfRule>
          <xm:sqref>Q20:U38</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D80B9-6D93-425E-B310-357C513B8F49}">
  <dimension ref="B3:C17"/>
  <sheetViews>
    <sheetView workbookViewId="0">
      <selection activeCell="C3" sqref="C3"/>
    </sheetView>
  </sheetViews>
  <sheetFormatPr defaultRowHeight="14.4" x14ac:dyDescent="0.3"/>
  <sheetData>
    <row r="3" spans="2:3" x14ac:dyDescent="0.3">
      <c r="B3">
        <v>1</v>
      </c>
      <c r="C3" t="s">
        <v>1089</v>
      </c>
    </row>
    <row r="4" spans="2:3" x14ac:dyDescent="0.3">
      <c r="B4">
        <f>B3+1</f>
        <v>2</v>
      </c>
      <c r="C4" t="s">
        <v>1090</v>
      </c>
    </row>
    <row r="5" spans="2:3" x14ac:dyDescent="0.3">
      <c r="B5">
        <f t="shared" ref="B5:B10" si="0">B4+1</f>
        <v>3</v>
      </c>
      <c r="C5" t="s">
        <v>1091</v>
      </c>
    </row>
    <row r="6" spans="2:3" x14ac:dyDescent="0.3">
      <c r="B6">
        <f t="shared" si="0"/>
        <v>4</v>
      </c>
      <c r="C6" t="s">
        <v>1093</v>
      </c>
    </row>
    <row r="7" spans="2:3" x14ac:dyDescent="0.3">
      <c r="B7">
        <f t="shared" si="0"/>
        <v>5</v>
      </c>
      <c r="C7" t="s">
        <v>1092</v>
      </c>
    </row>
    <row r="8" spans="2:3" x14ac:dyDescent="0.3">
      <c r="B8">
        <f t="shared" si="0"/>
        <v>6</v>
      </c>
      <c r="C8" t="s">
        <v>1094</v>
      </c>
    </row>
    <row r="9" spans="2:3" x14ac:dyDescent="0.3">
      <c r="B9">
        <f t="shared" si="0"/>
        <v>7</v>
      </c>
      <c r="C9" t="s">
        <v>1095</v>
      </c>
    </row>
    <row r="10" spans="2:3" x14ac:dyDescent="0.3">
      <c r="B10">
        <f t="shared" si="0"/>
        <v>8</v>
      </c>
      <c r="C10" t="s">
        <v>1096</v>
      </c>
    </row>
    <row r="11" spans="2:3" x14ac:dyDescent="0.3">
      <c r="B11">
        <v>9</v>
      </c>
      <c r="C11" t="s">
        <v>1097</v>
      </c>
    </row>
    <row r="12" spans="2:3" x14ac:dyDescent="0.3">
      <c r="B12">
        <v>10</v>
      </c>
      <c r="C12" t="s">
        <v>1098</v>
      </c>
    </row>
    <row r="13" spans="2:3" x14ac:dyDescent="0.3">
      <c r="B13">
        <v>11</v>
      </c>
      <c r="C13" t="s">
        <v>1099</v>
      </c>
    </row>
    <row r="14" spans="2:3" x14ac:dyDescent="0.3">
      <c r="B14">
        <v>12</v>
      </c>
      <c r="C14" t="s">
        <v>1100</v>
      </c>
    </row>
    <row r="15" spans="2:3" x14ac:dyDescent="0.3">
      <c r="B15">
        <v>13</v>
      </c>
      <c r="C15" t="s">
        <v>1101</v>
      </c>
    </row>
    <row r="16" spans="2:3" x14ac:dyDescent="0.3">
      <c r="B16">
        <v>14</v>
      </c>
      <c r="C16" t="s">
        <v>1102</v>
      </c>
    </row>
    <row r="17" spans="2:3" x14ac:dyDescent="0.3">
      <c r="B17">
        <v>15</v>
      </c>
      <c r="C17" t="s">
        <v>1103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Assets</vt:lpstr>
      <vt:lpstr>pivots</vt:lpstr>
      <vt:lpstr>Customer center report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deviprasad09vydadi@gmail.com</cp:lastModifiedBy>
  <dcterms:created xsi:type="dcterms:W3CDTF">2021-03-14T20:21:32Z</dcterms:created>
  <dcterms:modified xsi:type="dcterms:W3CDTF">2026-01-19T13:12:40Z</dcterms:modified>
</cp:coreProperties>
</file>